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c0cd5a6abbff4/Documentos/Grupo Empresarial/Granja Acuicola La Ceiba/"/>
    </mc:Choice>
  </mc:AlternateContent>
  <xr:revisionPtr revIDLastSave="686" documentId="8_{9CCA4A94-52FB-4DF1-A1E5-32688C8061E9}" xr6:coauthVersionLast="47" xr6:coauthVersionMax="47" xr10:uidLastSave="{08C4DF44-B50D-4359-9A96-A3F84A71B0DE}"/>
  <bookViews>
    <workbookView xWindow="-110" yWindow="-110" windowWidth="25820" windowHeight="13900" activeTab="1" xr2:uid="{F509CC65-B4EB-4F60-B839-9427A9F3CB9F}"/>
  </bookViews>
  <sheets>
    <sheet name="1-2024" sheetId="1" r:id="rId1"/>
    <sheet name="1-2025" sheetId="2" r:id="rId2"/>
    <sheet name="2-2025" sheetId="4" r:id="rId3"/>
    <sheet name="3-2025" sheetId="5" r:id="rId4"/>
    <sheet name="Parametros" sheetId="3" r:id="rId5"/>
    <sheet name="Sheet1" sheetId="6" r:id="rId6"/>
    <sheet name="Sheet2" sheetId="7" r:id="rId7"/>
  </sheets>
  <definedNames>
    <definedName name="_xlnm.Print_Area" localSheetId="5">Sheet1!$V$2:$AD$53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5" l="1"/>
  <c r="Q9" i="5"/>
  <c r="E9" i="5"/>
  <c r="F9" i="5" s="1"/>
  <c r="G9" i="5"/>
  <c r="F34" i="2"/>
  <c r="H34" i="2" s="1"/>
  <c r="M10" i="2"/>
  <c r="F33" i="2" l="1"/>
  <c r="H33" i="2" s="1"/>
  <c r="F32" i="2"/>
  <c r="H32" i="2" s="1"/>
  <c r="F31" i="2"/>
  <c r="H31" i="2" s="1"/>
  <c r="E5" i="5"/>
  <c r="E6" i="5"/>
  <c r="F6" i="5" s="1"/>
  <c r="E7" i="5"/>
  <c r="F7" i="5" s="1"/>
  <c r="E8" i="5"/>
  <c r="F8" i="5" s="1"/>
  <c r="E4" i="5"/>
  <c r="G8" i="5"/>
  <c r="G7" i="5"/>
  <c r="G6" i="5"/>
  <c r="E9" i="4"/>
  <c r="F9" i="4" s="1"/>
  <c r="G9" i="4"/>
  <c r="E8" i="4"/>
  <c r="F8" i="4" s="1"/>
  <c r="G8" i="4"/>
  <c r="E7" i="4"/>
  <c r="F7" i="4" s="1"/>
  <c r="G7" i="4"/>
  <c r="F30" i="2"/>
  <c r="H30" i="2" s="1"/>
  <c r="E17" i="2"/>
  <c r="F17" i="2" s="1"/>
  <c r="G17" i="2"/>
  <c r="E16" i="2"/>
  <c r="F16" i="2" s="1"/>
  <c r="G16" i="2"/>
  <c r="E15" i="2"/>
  <c r="F15" i="2" s="1"/>
  <c r="G15" i="2"/>
  <c r="Q16" i="2" l="1"/>
  <c r="Q9" i="4"/>
  <c r="Q8" i="5"/>
  <c r="Q7" i="5"/>
  <c r="Q8" i="4"/>
  <c r="Q15" i="2"/>
  <c r="Q14" i="2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5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2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9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6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32" i="7"/>
  <c r="R29" i="7"/>
  <c r="R30" i="7"/>
  <c r="R31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4" i="7"/>
  <c r="R5" i="7"/>
  <c r="R6" i="7"/>
  <c r="R7" i="7"/>
  <c r="R8" i="7"/>
  <c r="R9" i="7"/>
  <c r="R10" i="7"/>
  <c r="R11" i="7"/>
  <c r="R12" i="7"/>
  <c r="R13" i="7"/>
  <c r="R14" i="7"/>
  <c r="R15" i="7"/>
  <c r="R3" i="7"/>
  <c r="P179" i="7"/>
  <c r="P180" i="7"/>
  <c r="P181" i="7"/>
  <c r="P182" i="7"/>
  <c r="P178" i="7"/>
  <c r="P176" i="7"/>
  <c r="P177" i="7"/>
  <c r="P173" i="7"/>
  <c r="P174" i="7"/>
  <c r="P175" i="7"/>
  <c r="P169" i="7"/>
  <c r="P170" i="7"/>
  <c r="P171" i="7"/>
  <c r="P172" i="7"/>
  <c r="P160" i="7"/>
  <c r="P161" i="7" s="1"/>
  <c r="P162" i="7" s="1"/>
  <c r="P163" i="7" s="1"/>
  <c r="P164" i="7" s="1"/>
  <c r="P165" i="7" s="1"/>
  <c r="P166" i="7" s="1"/>
  <c r="P167" i="7" s="1"/>
  <c r="P168" i="7" s="1"/>
  <c r="P151" i="7"/>
  <c r="P152" i="7"/>
  <c r="P153" i="7"/>
  <c r="P154" i="7"/>
  <c r="P155" i="7"/>
  <c r="P156" i="7" s="1"/>
  <c r="P157" i="7" s="1"/>
  <c r="P158" i="7" s="1"/>
  <c r="P159" i="7" s="1"/>
  <c r="P137" i="7"/>
  <c r="P138" i="7" s="1"/>
  <c r="P139" i="7" s="1"/>
  <c r="P140" i="7" s="1"/>
  <c r="P141" i="7" s="1"/>
  <c r="P142" i="7" s="1"/>
  <c r="P143" i="7" s="1"/>
  <c r="P144" i="7" s="1"/>
  <c r="P145" i="7" s="1"/>
  <c r="P146" i="7" s="1"/>
  <c r="P147" i="7" s="1"/>
  <c r="P148" i="7" s="1"/>
  <c r="P149" i="7" s="1"/>
  <c r="P150" i="7" s="1"/>
  <c r="P123" i="7"/>
  <c r="P124" i="7"/>
  <c r="P125" i="7"/>
  <c r="P126" i="7" s="1"/>
  <c r="P127" i="7" s="1"/>
  <c r="P128" i="7" s="1"/>
  <c r="P129" i="7" s="1"/>
  <c r="P130" i="7" s="1"/>
  <c r="P131" i="7" s="1"/>
  <c r="P132" i="7" s="1"/>
  <c r="P133" i="7" s="1"/>
  <c r="P134" i="7" s="1"/>
  <c r="P135" i="7" s="1"/>
  <c r="P136" i="7" s="1"/>
  <c r="P109" i="7"/>
  <c r="P110" i="7" s="1"/>
  <c r="P111" i="7" s="1"/>
  <c r="P112" i="7" s="1"/>
  <c r="P113" i="7" s="1"/>
  <c r="P114" i="7" s="1"/>
  <c r="P115" i="7" s="1"/>
  <c r="P116" i="7" s="1"/>
  <c r="P117" i="7" s="1"/>
  <c r="P118" i="7" s="1"/>
  <c r="P119" i="7" s="1"/>
  <c r="P120" i="7" s="1"/>
  <c r="P121" i="7" s="1"/>
  <c r="P122" i="7" s="1"/>
  <c r="P102" i="7"/>
  <c r="P103" i="7" s="1"/>
  <c r="P104" i="7" s="1"/>
  <c r="P105" i="7" s="1"/>
  <c r="P106" i="7" s="1"/>
  <c r="P107" i="7" s="1"/>
  <c r="P108" i="7" s="1"/>
  <c r="P95" i="7"/>
  <c r="P96" i="7"/>
  <c r="P97" i="7"/>
  <c r="P98" i="7"/>
  <c r="P99" i="7"/>
  <c r="P100" i="7"/>
  <c r="P101" i="7"/>
  <c r="P88" i="7"/>
  <c r="P89" i="7" s="1"/>
  <c r="P90" i="7" s="1"/>
  <c r="P91" i="7" s="1"/>
  <c r="P92" i="7" s="1"/>
  <c r="P93" i="7" s="1"/>
  <c r="P94" i="7" s="1"/>
  <c r="P82" i="7"/>
  <c r="P83" i="7" s="1"/>
  <c r="P84" i="7" s="1"/>
  <c r="P85" i="7" s="1"/>
  <c r="P86" i="7" s="1"/>
  <c r="P87" i="7" s="1"/>
  <c r="P81" i="7"/>
  <c r="P74" i="7"/>
  <c r="P75" i="7" s="1"/>
  <c r="P76" i="7" s="1"/>
  <c r="P77" i="7" s="1"/>
  <c r="P78" i="7" s="1"/>
  <c r="P79" i="7" s="1"/>
  <c r="P80" i="7" s="1"/>
  <c r="P67" i="7"/>
  <c r="P68" i="7" s="1"/>
  <c r="P69" i="7" s="1"/>
  <c r="P70" i="7" s="1"/>
  <c r="P71" i="7" s="1"/>
  <c r="P72" i="7" s="1"/>
  <c r="P73" i="7" s="1"/>
  <c r="P60" i="7"/>
  <c r="P61" i="7" s="1"/>
  <c r="P62" i="7" s="1"/>
  <c r="P63" i="7" s="1"/>
  <c r="P64" i="7" s="1"/>
  <c r="P65" i="7" s="1"/>
  <c r="P66" i="7" s="1"/>
  <c r="P53" i="7"/>
  <c r="P54" i="7"/>
  <c r="P55" i="7" s="1"/>
  <c r="P56" i="7" s="1"/>
  <c r="P57" i="7" s="1"/>
  <c r="P58" i="7" s="1"/>
  <c r="P59" i="7" s="1"/>
  <c r="P46" i="7"/>
  <c r="P47" i="7" s="1"/>
  <c r="P48" i="7" s="1"/>
  <c r="P49" i="7" s="1"/>
  <c r="P50" i="7" s="1"/>
  <c r="P51" i="7" s="1"/>
  <c r="P52" i="7" s="1"/>
  <c r="P40" i="7"/>
  <c r="P41" i="7" s="1"/>
  <c r="P42" i="7" s="1"/>
  <c r="P43" i="7" s="1"/>
  <c r="P44" i="7" s="1"/>
  <c r="P45" i="7" s="1"/>
  <c r="P39" i="7"/>
  <c r="P33" i="7"/>
  <c r="P34" i="7" s="1"/>
  <c r="P35" i="7" s="1"/>
  <c r="P36" i="7" s="1"/>
  <c r="P37" i="7" s="1"/>
  <c r="P38" i="7" s="1"/>
  <c r="P32" i="7"/>
  <c r="P25" i="7"/>
  <c r="P26" i="7"/>
  <c r="P27" i="7"/>
  <c r="P28" i="7"/>
  <c r="P29" i="7" s="1"/>
  <c r="P30" i="7" s="1"/>
  <c r="P31" i="7" s="1"/>
  <c r="P18" i="7"/>
  <c r="P19" i="7"/>
  <c r="P20" i="7" s="1"/>
  <c r="P21" i="7" s="1"/>
  <c r="P22" i="7" s="1"/>
  <c r="P23" i="7" s="1"/>
  <c r="P24" i="7" s="1"/>
  <c r="P12" i="7"/>
  <c r="P13" i="7"/>
  <c r="P14" i="7"/>
  <c r="P15" i="7"/>
  <c r="P16" i="7"/>
  <c r="P17" i="7"/>
  <c r="P11" i="7"/>
  <c r="P5" i="7"/>
  <c r="P6" i="7"/>
  <c r="P7" i="7" s="1"/>
  <c r="P8" i="7" s="1"/>
  <c r="P9" i="7" s="1"/>
  <c r="P10" i="7" s="1"/>
  <c r="P4" i="7"/>
  <c r="E183" i="7" l="1"/>
  <c r="F183" i="7"/>
  <c r="C183" i="7"/>
  <c r="D183" i="7"/>
  <c r="Q13" i="2"/>
  <c r="Q12" i="2"/>
  <c r="AB22" i="6"/>
  <c r="AB21" i="6"/>
  <c r="X33" i="6"/>
  <c r="X27" i="6"/>
  <c r="X26" i="6"/>
  <c r="AA6" i="6"/>
  <c r="Z6" i="6"/>
  <c r="AA5" i="6"/>
  <c r="Z5" i="6"/>
  <c r="Z7" i="6" s="1"/>
  <c r="R23" i="6"/>
  <c r="R22" i="6"/>
  <c r="R21" i="6"/>
  <c r="N33" i="6"/>
  <c r="N27" i="6"/>
  <c r="N26" i="6"/>
  <c r="Q7" i="6"/>
  <c r="O7" i="6"/>
  <c r="P7" i="6" s="1"/>
  <c r="Q6" i="6"/>
  <c r="O6" i="6"/>
  <c r="P6" i="6" s="1"/>
  <c r="Q5" i="6"/>
  <c r="O5" i="6"/>
  <c r="P5" i="6" s="1"/>
  <c r="P8" i="6" s="1"/>
  <c r="H27" i="6"/>
  <c r="H26" i="6"/>
  <c r="H25" i="6"/>
  <c r="H24" i="6"/>
  <c r="H23" i="6"/>
  <c r="H22" i="6"/>
  <c r="H21" i="6"/>
  <c r="D33" i="6"/>
  <c r="D27" i="6"/>
  <c r="D26" i="6"/>
  <c r="G15" i="6"/>
  <c r="E15" i="6"/>
  <c r="F15" i="6" s="1"/>
  <c r="G14" i="6"/>
  <c r="E14" i="6"/>
  <c r="F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G5" i="6"/>
  <c r="E5" i="6"/>
  <c r="F5" i="6" s="1"/>
  <c r="Q7" i="4"/>
  <c r="E14" i="2"/>
  <c r="F14" i="2" s="1"/>
  <c r="G14" i="2"/>
  <c r="E13" i="2"/>
  <c r="F13" i="2" s="1"/>
  <c r="G13" i="2"/>
  <c r="F5" i="5"/>
  <c r="G5" i="5"/>
  <c r="G4" i="5"/>
  <c r="E6" i="4"/>
  <c r="F6" i="4" s="1"/>
  <c r="G6" i="4"/>
  <c r="G5" i="2"/>
  <c r="G6" i="2"/>
  <c r="G7" i="2"/>
  <c r="G8" i="2"/>
  <c r="G9" i="2"/>
  <c r="G10" i="2"/>
  <c r="G11" i="2"/>
  <c r="G12" i="2"/>
  <c r="G4" i="2"/>
  <c r="E5" i="2"/>
  <c r="E6" i="2"/>
  <c r="E7" i="2"/>
  <c r="E8" i="2"/>
  <c r="E9" i="2"/>
  <c r="E10" i="2"/>
  <c r="E11" i="2"/>
  <c r="E12" i="2"/>
  <c r="E4" i="2"/>
  <c r="G4" i="4"/>
  <c r="G5" i="4"/>
  <c r="E4" i="4"/>
  <c r="E5" i="4"/>
  <c r="F5" i="4" s="1"/>
  <c r="F12" i="3"/>
  <c r="G12" i="3" s="1"/>
  <c r="G11" i="3"/>
  <c r="G10" i="3"/>
  <c r="F10" i="3"/>
  <c r="G9" i="3"/>
  <c r="G8" i="3"/>
  <c r="G7" i="3"/>
  <c r="G6" i="3"/>
  <c r="G5" i="3"/>
  <c r="G4" i="3"/>
  <c r="G3" i="3"/>
  <c r="G22" i="5"/>
  <c r="E22" i="5"/>
  <c r="M15" i="5" s="1"/>
  <c r="D22" i="5"/>
  <c r="B22" i="5"/>
  <c r="X28" i="6" s="1"/>
  <c r="F21" i="5"/>
  <c r="H21" i="5" s="1"/>
  <c r="F20" i="5"/>
  <c r="H20" i="5" s="1"/>
  <c r="M18" i="5"/>
  <c r="F19" i="5"/>
  <c r="H19" i="5" s="1"/>
  <c r="F18" i="5"/>
  <c r="M11" i="5"/>
  <c r="B13" i="5"/>
  <c r="M10" i="5"/>
  <c r="Q6" i="5"/>
  <c r="Q5" i="5"/>
  <c r="F4" i="5"/>
  <c r="F10" i="5" s="1"/>
  <c r="Q6" i="4"/>
  <c r="Q5" i="4"/>
  <c r="Q11" i="2"/>
  <c r="M12" i="5" l="1"/>
  <c r="M13" i="5" s="1"/>
  <c r="M14" i="5" s="1"/>
  <c r="D13" i="5"/>
  <c r="X29" i="6"/>
  <c r="F22" i="5"/>
  <c r="X30" i="6"/>
  <c r="X31" i="6" s="1"/>
  <c r="F16" i="6"/>
  <c r="M16" i="5"/>
  <c r="X24" i="6"/>
  <c r="H18" i="5"/>
  <c r="H22" i="5" s="1"/>
  <c r="E13" i="5"/>
  <c r="M7" i="5" l="1"/>
  <c r="X23" i="6"/>
  <c r="M8" i="5"/>
  <c r="F14" i="5"/>
  <c r="E14" i="5"/>
  <c r="G13" i="5"/>
  <c r="G14" i="5" l="1"/>
  <c r="H13" i="5"/>
  <c r="H14" i="5" l="1"/>
  <c r="I13" i="5"/>
  <c r="I14" i="5" s="1"/>
  <c r="G22" i="4" l="1"/>
  <c r="E22" i="4"/>
  <c r="D22" i="4"/>
  <c r="B22" i="4"/>
  <c r="F21" i="4"/>
  <c r="H21" i="4" s="1"/>
  <c r="F20" i="4"/>
  <c r="H20" i="4" s="1"/>
  <c r="F19" i="4"/>
  <c r="H19" i="4" s="1"/>
  <c r="F18" i="4"/>
  <c r="B13" i="4"/>
  <c r="M18" i="4"/>
  <c r="M11" i="4"/>
  <c r="M10" i="4"/>
  <c r="F4" i="4"/>
  <c r="F10" i="4" s="1"/>
  <c r="Q10" i="2"/>
  <c r="Q9" i="2"/>
  <c r="F12" i="2"/>
  <c r="Q8" i="2"/>
  <c r="F11" i="2"/>
  <c r="F10" i="2"/>
  <c r="Q7" i="2"/>
  <c r="Q6" i="2"/>
  <c r="Q5" i="2"/>
  <c r="F9" i="2"/>
  <c r="F8" i="2"/>
  <c r="F7" i="2"/>
  <c r="F6" i="2"/>
  <c r="F5" i="2"/>
  <c r="F4" i="2"/>
  <c r="B21" i="2"/>
  <c r="G35" i="2"/>
  <c r="E35" i="2"/>
  <c r="D35" i="2"/>
  <c r="B35" i="2"/>
  <c r="F29" i="2"/>
  <c r="F28" i="2"/>
  <c r="H28" i="2" s="1"/>
  <c r="F27" i="2"/>
  <c r="H27" i="2" s="1"/>
  <c r="F26" i="2"/>
  <c r="M18" i="2"/>
  <c r="M11" i="2"/>
  <c r="D33" i="1"/>
  <c r="G77" i="1"/>
  <c r="E77" i="1"/>
  <c r="D77" i="1"/>
  <c r="B77" i="1"/>
  <c r="F76" i="1"/>
  <c r="H76" i="1" s="1"/>
  <c r="F75" i="1"/>
  <c r="H75" i="1" s="1"/>
  <c r="F74" i="1"/>
  <c r="H74" i="1" s="1"/>
  <c r="F73" i="1"/>
  <c r="H73" i="1" s="1"/>
  <c r="F72" i="1"/>
  <c r="H72" i="1" s="1"/>
  <c r="F71" i="1"/>
  <c r="H71" i="1" s="1"/>
  <c r="F70" i="1"/>
  <c r="H70" i="1" s="1"/>
  <c r="F69" i="1"/>
  <c r="H69" i="1" s="1"/>
  <c r="F68" i="1"/>
  <c r="H68" i="1" s="1"/>
  <c r="F67" i="1"/>
  <c r="H67" i="1" s="1"/>
  <c r="F66" i="1"/>
  <c r="H66" i="1" s="1"/>
  <c r="F65" i="1"/>
  <c r="H65" i="1" s="1"/>
  <c r="F64" i="1"/>
  <c r="H64" i="1" s="1"/>
  <c r="F63" i="1"/>
  <c r="H63" i="1" s="1"/>
  <c r="F62" i="1"/>
  <c r="H62" i="1" s="1"/>
  <c r="F61" i="1"/>
  <c r="H61" i="1" s="1"/>
  <c r="F60" i="1"/>
  <c r="H60" i="1" s="1"/>
  <c r="F59" i="1"/>
  <c r="H59" i="1" s="1"/>
  <c r="F58" i="1"/>
  <c r="H58" i="1" s="1"/>
  <c r="F57" i="1"/>
  <c r="H57" i="1" s="1"/>
  <c r="F56" i="1"/>
  <c r="H56" i="1" s="1"/>
  <c r="F55" i="1"/>
  <c r="H55" i="1" s="1"/>
  <c r="F54" i="1"/>
  <c r="H54" i="1" s="1"/>
  <c r="F53" i="1"/>
  <c r="H53" i="1" s="1"/>
  <c r="F52" i="1"/>
  <c r="H52" i="1" s="1"/>
  <c r="F51" i="1"/>
  <c r="H51" i="1" s="1"/>
  <c r="F50" i="1"/>
  <c r="H50" i="1" s="1"/>
  <c r="F49" i="1"/>
  <c r="H49" i="1" s="1"/>
  <c r="F48" i="1"/>
  <c r="H48" i="1" s="1"/>
  <c r="F47" i="1"/>
  <c r="H47" i="1" s="1"/>
  <c r="F46" i="1"/>
  <c r="H46" i="1" s="1"/>
  <c r="F45" i="1"/>
  <c r="H45" i="1" s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8" i="1"/>
  <c r="M17" i="1"/>
  <c r="M11" i="1"/>
  <c r="M10" i="1"/>
  <c r="F28" i="1"/>
  <c r="M7" i="1" s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13" i="4" l="1"/>
  <c r="F18" i="2"/>
  <c r="F21" i="2" s="1"/>
  <c r="M15" i="2"/>
  <c r="D30" i="6"/>
  <c r="M12" i="2"/>
  <c r="M16" i="2" s="1"/>
  <c r="D28" i="6"/>
  <c r="D29" i="6" s="1"/>
  <c r="M12" i="4"/>
  <c r="M13" i="4" s="1"/>
  <c r="M14" i="4" s="1"/>
  <c r="N28" i="6"/>
  <c r="N29" i="6" s="1"/>
  <c r="M15" i="4"/>
  <c r="M16" i="4" s="1"/>
  <c r="N30" i="6"/>
  <c r="D13" i="4"/>
  <c r="E13" i="4" s="1"/>
  <c r="F22" i="4"/>
  <c r="H18" i="4"/>
  <c r="H22" i="4" s="1"/>
  <c r="D21" i="2"/>
  <c r="E21" i="2" s="1"/>
  <c r="F35" i="2"/>
  <c r="H26" i="2"/>
  <c r="H35" i="2" s="1"/>
  <c r="F77" i="1"/>
  <c r="M15" i="1"/>
  <c r="H38" i="1"/>
  <c r="H77" i="1" s="1"/>
  <c r="F29" i="1"/>
  <c r="M13" i="1"/>
  <c r="M8" i="1"/>
  <c r="M8" i="4" l="1"/>
  <c r="M7" i="4"/>
  <c r="N24" i="6"/>
  <c r="N23" i="6"/>
  <c r="M13" i="2"/>
  <c r="M14" i="2" s="1"/>
  <c r="N31" i="6"/>
  <c r="D23" i="6"/>
  <c r="D24" i="6"/>
  <c r="D31" i="6"/>
  <c r="F14" i="4"/>
  <c r="E14" i="4"/>
  <c r="G13" i="4"/>
  <c r="H13" i="4" s="1"/>
  <c r="H14" i="4" s="1"/>
  <c r="M8" i="2"/>
  <c r="M7" i="2"/>
  <c r="E22" i="2"/>
  <c r="F22" i="2"/>
  <c r="G21" i="2"/>
  <c r="E33" i="1"/>
  <c r="G14" i="4" l="1"/>
  <c r="I13" i="4"/>
  <c r="I14" i="4" s="1"/>
  <c r="G22" i="2"/>
  <c r="H21" i="2"/>
  <c r="E34" i="1"/>
  <c r="H22" i="2" l="1"/>
  <c r="I21" i="2"/>
  <c r="I22" i="2" s="1"/>
  <c r="F34" i="1"/>
  <c r="G34" i="1"/>
  <c r="H33" i="1"/>
  <c r="H34" i="1" l="1"/>
  <c r="I33" i="1"/>
  <c r="I34" i="1" s="1"/>
</calcChain>
</file>

<file path=xl/sharedStrings.xml><?xml version="1.0" encoding="utf-8"?>
<sst xmlns="http://schemas.openxmlformats.org/spreadsheetml/2006/main" count="849" uniqueCount="153">
  <si>
    <t>EGRESOS</t>
  </si>
  <si>
    <t>Fecha</t>
  </si>
  <si>
    <t>Descripcion</t>
  </si>
  <si>
    <t>Piezas</t>
  </si>
  <si>
    <t>Precio Unitario</t>
  </si>
  <si>
    <t>Precio Total</t>
  </si>
  <si>
    <t>Proveedor</t>
  </si>
  <si>
    <t>Compro</t>
  </si>
  <si>
    <t>Tipo de Gasto</t>
  </si>
  <si>
    <t>Malla hexagonal galvanizada 15 mts</t>
  </si>
  <si>
    <t>AGROTROPIC</t>
  </si>
  <si>
    <t>Juan Carlos</t>
  </si>
  <si>
    <t>Infraestructura</t>
  </si>
  <si>
    <t>Daimetoprim</t>
  </si>
  <si>
    <t>Produccion</t>
  </si>
  <si>
    <t>Bulto de Alimento para Pollo Iniciador 40 Kg (Dividido 20 Kg)</t>
  </si>
  <si>
    <t>CAMPIBAR</t>
  </si>
  <si>
    <t>Bulto de Alimento para Pollo Iniciador 40 Kg</t>
  </si>
  <si>
    <t>JYY AGROPECUARIA</t>
  </si>
  <si>
    <t>Malla hexagonal galvanizada 15 mts (Dividido)</t>
  </si>
  <si>
    <t>Bulto de Alimento para Pollo Desarrollo 40 Kg</t>
  </si>
  <si>
    <t>CENTRAL DE ABASTOS</t>
  </si>
  <si>
    <t>Bulto de Alimento para Pollo Engorda 40 Kg</t>
  </si>
  <si>
    <t>Lona Azul  5x7 mts (Dividido)</t>
  </si>
  <si>
    <t>Vaqueiros Ferreteros</t>
  </si>
  <si>
    <t>Bebedero Automatico</t>
  </si>
  <si>
    <t>Mercado Libre</t>
  </si>
  <si>
    <t>Manguera para bebedero</t>
  </si>
  <si>
    <t>Esparrago para bebedero</t>
  </si>
  <si>
    <t>Bulto de Maiz Blanco Entero 25 Kg</t>
  </si>
  <si>
    <t>Bolsas Plasticas Transparentes</t>
  </si>
  <si>
    <t>Bolsas Plasticas de Asa</t>
  </si>
  <si>
    <t>Comedero Tolva</t>
  </si>
  <si>
    <t>Materiales Varios</t>
  </si>
  <si>
    <t>INFORMACION RELEVANTE</t>
  </si>
  <si>
    <t>No. de Ciclo</t>
  </si>
  <si>
    <t>1-2025</t>
  </si>
  <si>
    <t>Fecha de Ingreso</t>
  </si>
  <si>
    <t>No. de Organismos</t>
  </si>
  <si>
    <t>Costo de compra por  Organismo</t>
  </si>
  <si>
    <t>Costo de Produccion Total</t>
  </si>
  <si>
    <t>Costo de Produccion por Organismo</t>
  </si>
  <si>
    <t>Mortandad</t>
  </si>
  <si>
    <t>Organismos Aprovechados</t>
  </si>
  <si>
    <t>Participacion por Organismo</t>
  </si>
  <si>
    <t>Organismos Vendidos</t>
  </si>
  <si>
    <t>Organismos Restantes</t>
  </si>
  <si>
    <t>Biomasa Vendida</t>
  </si>
  <si>
    <t>Promedio de Peso</t>
  </si>
  <si>
    <t>Fecha de Ultima Venta</t>
  </si>
  <si>
    <t>03/05/2025</t>
  </si>
  <si>
    <t>Dias Transcurridos del Ciclo</t>
  </si>
  <si>
    <t>INFORMACION DE PARTICIPANTES</t>
  </si>
  <si>
    <t>Animales Iniciales</t>
  </si>
  <si>
    <t>Participantes</t>
  </si>
  <si>
    <t>Participacion
[%]</t>
  </si>
  <si>
    <t>Animales Restantes</t>
  </si>
  <si>
    <t>Gasto</t>
  </si>
  <si>
    <t>Ingreso</t>
  </si>
  <si>
    <t>Pago</t>
  </si>
  <si>
    <t>Restante</t>
  </si>
  <si>
    <t>Roberto Guadalupe Reyes Solis</t>
  </si>
  <si>
    <t>Juan Carlos Jimenez Ara</t>
  </si>
  <si>
    <t>Observacion</t>
  </si>
  <si>
    <t>VENTAS</t>
  </si>
  <si>
    <t>Cliente</t>
  </si>
  <si>
    <t>Precio por 
Kg</t>
  </si>
  <si>
    <t>Peso del 
Organismo</t>
  </si>
  <si>
    <t>Precio del 
Organismo</t>
  </si>
  <si>
    <t>Pendiente</t>
  </si>
  <si>
    <t>Observaciones</t>
  </si>
  <si>
    <t>Metodo de Pago</t>
  </si>
  <si>
    <t>Manlio Fab io Aguilar Marin</t>
  </si>
  <si>
    <t>Transferencia</t>
  </si>
  <si>
    <t>Francisco Javier Alvarez de la O</t>
  </si>
  <si>
    <t>Yara Odilia Rivera Marquez Personal</t>
  </si>
  <si>
    <t>Sra. Conchi</t>
  </si>
  <si>
    <t>Gela Ferrer de la Fuente</t>
  </si>
  <si>
    <t>Yara Odilia Rivera Marquez/Oscar</t>
  </si>
  <si>
    <t>Roxana Madrazo Almeida</t>
  </si>
  <si>
    <t>Lorena Ara</t>
  </si>
  <si>
    <t>Yara Odilia Rivera Marquez Lili</t>
  </si>
  <si>
    <t>Yara Odilia Rivera Marque Oficina</t>
  </si>
  <si>
    <t>Yara Odilia Rivera Marquez Mama</t>
  </si>
  <si>
    <t>Vivo</t>
  </si>
  <si>
    <t>Lulu Coj</t>
  </si>
  <si>
    <t>BIOMETRIAS</t>
  </si>
  <si>
    <t>1-2024</t>
  </si>
  <si>
    <t>27/03/2024</t>
  </si>
  <si>
    <t>Promedio de Peso
[Gr.]</t>
  </si>
  <si>
    <t>27/01/2025</t>
  </si>
  <si>
    <t>Granja Acuicola La Ceiba</t>
  </si>
  <si>
    <t>1.5 mm 4515 Aqua 45% Proteina</t>
  </si>
  <si>
    <t>Presentacion</t>
  </si>
  <si>
    <t>Precio Bulto</t>
  </si>
  <si>
    <t>Precio Kg</t>
  </si>
  <si>
    <t>0.3 mm 5215 Aqua 52% Proteina</t>
  </si>
  <si>
    <t>0.4 mm Microteck (MCK) Hormonado</t>
  </si>
  <si>
    <t>0.4 mm Microteck (MCK) Sin Hormonar</t>
  </si>
  <si>
    <t>2.5 mm 4515 Aqua 45% Proteina</t>
  </si>
  <si>
    <t>3.5 mm 3205 Aqua 32% Proteina</t>
  </si>
  <si>
    <t>5.0 mm 3005 Aqua 30% Proteina</t>
  </si>
  <si>
    <t>Dyno Alimento para perro</t>
  </si>
  <si>
    <t>Melaza</t>
  </si>
  <si>
    <t>No genera IVA</t>
  </si>
  <si>
    <t>Sal Refinada Sin Yodo</t>
  </si>
  <si>
    <t>GAC</t>
  </si>
  <si>
    <t>31/04/2025</t>
  </si>
  <si>
    <t>Dias Transcurridos</t>
  </si>
  <si>
    <t>31/06/2025</t>
  </si>
  <si>
    <t>05/07/2025</t>
  </si>
  <si>
    <t>08/08/2025</t>
  </si>
  <si>
    <t>Marca</t>
  </si>
  <si>
    <t>VIMIFOS</t>
  </si>
  <si>
    <t>Rodolfo Sanchez</t>
  </si>
  <si>
    <t>PEDREGAL</t>
  </si>
  <si>
    <t>JYY Agropecuaria</t>
  </si>
  <si>
    <t>DYNO</t>
  </si>
  <si>
    <t>GENERICO</t>
  </si>
  <si>
    <t>Trueque</t>
  </si>
  <si>
    <t>Siembra 1-2025 (Estanque 6)</t>
  </si>
  <si>
    <t>Ventas Realizadas</t>
  </si>
  <si>
    <t>Fecha Actualizada</t>
  </si>
  <si>
    <t>13/09/2025</t>
  </si>
  <si>
    <t>Siembra 2-2025 (Estanque CH-01)</t>
  </si>
  <si>
    <t>Siembra 3-2025</t>
  </si>
  <si>
    <t>3-2025</t>
  </si>
  <si>
    <t>2-2025</t>
  </si>
  <si>
    <t>Biomasa Estimada</t>
  </si>
  <si>
    <t>Dias</t>
  </si>
  <si>
    <t>Renta de 
Estanque</t>
  </si>
  <si>
    <t>Costo de 
Alevines</t>
  </si>
  <si>
    <t>Renta de 
Aereadores</t>
  </si>
  <si>
    <t>Total</t>
  </si>
  <si>
    <t>Mano de
Obra</t>
  </si>
  <si>
    <t>22/09/2025</t>
  </si>
  <si>
    <t>0.3 - 52% Proteina</t>
  </si>
  <si>
    <t>1.5 - 45% Proteina</t>
  </si>
  <si>
    <t>2.5 - 45% Proteina</t>
  </si>
  <si>
    <t>3.5 - 32% Proteina</t>
  </si>
  <si>
    <t>5.0 - 30% Proteina</t>
  </si>
  <si>
    <t>Biomasa</t>
  </si>
  <si>
    <t>Descuento Nomina</t>
  </si>
  <si>
    <t>Mecanico Marcha Planta</t>
  </si>
  <si>
    <t>Yara Odilia Rivera Marquez</t>
  </si>
  <si>
    <t>Jose Daniel Alvarez de la O</t>
  </si>
  <si>
    <t>Chavos Granja</t>
  </si>
  <si>
    <t>Mortalidad por cocodrilo</t>
  </si>
  <si>
    <t>Ernesto Chable</t>
  </si>
  <si>
    <t>Contador Roberto</t>
  </si>
  <si>
    <t>Publico General</t>
  </si>
  <si>
    <t>Efectivo</t>
  </si>
  <si>
    <t>08/01/2026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</si>
</sst>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0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double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auto="1"/>
      </top>
      <bottom/>
      <diagonal/>
    </border>
    <border>
      <left style="thin">
        <color theme="0" tint="-0.34998626667073579"/>
      </left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4" fontId="1" fillId="0" borderId="3" xfId="0" applyNumberFormat="1" applyFont="1" applyBorder="1" applyAlignment="1">
      <alignment horizontal="center" vertical="center" wrapText="1"/>
    </xf>
    <xf numFmtId="44" fontId="1" fillId="0" borderId="4" xfId="0" applyNumberFormat="1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44" fontId="0" fillId="0" borderId="6" xfId="1" applyFont="1" applyBorder="1"/>
    <xf numFmtId="44" fontId="0" fillId="0" borderId="7" xfId="1" applyFont="1" applyBorder="1" applyAlignment="1">
      <alignment horizontal="center"/>
    </xf>
    <xf numFmtId="44" fontId="0" fillId="0" borderId="7" xfId="1" applyFont="1" applyBorder="1"/>
    <xf numFmtId="44" fontId="0" fillId="0" borderId="6" xfId="1" applyFont="1" applyBorder="1" applyAlignment="1">
      <alignment horizontal="center"/>
    </xf>
    <xf numFmtId="44" fontId="0" fillId="0" borderId="8" xfId="1" applyFont="1" applyBorder="1"/>
    <xf numFmtId="44" fontId="0" fillId="0" borderId="8" xfId="1" applyFon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44" fontId="0" fillId="0" borderId="10" xfId="1" applyFont="1" applyBorder="1"/>
    <xf numFmtId="14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44" fontId="0" fillId="0" borderId="12" xfId="0" applyNumberFormat="1" applyBorder="1"/>
    <xf numFmtId="44" fontId="0" fillId="0" borderId="13" xfId="0" applyNumberFormat="1" applyBorder="1"/>
    <xf numFmtId="44" fontId="0" fillId="0" borderId="13" xfId="0" applyNumberFormat="1" applyBorder="1" applyAlignment="1">
      <alignment horizontal="center"/>
    </xf>
    <xf numFmtId="44" fontId="0" fillId="0" borderId="11" xfId="0" applyNumberFormat="1" applyBorder="1"/>
    <xf numFmtId="0" fontId="0" fillId="0" borderId="1" xfId="0" applyBorder="1"/>
    <xf numFmtId="17" fontId="0" fillId="0" borderId="1" xfId="0" quotePrefix="1" applyNumberFormat="1" applyBorder="1" applyAlignment="1">
      <alignment horizontal="center"/>
    </xf>
    <xf numFmtId="1" fontId="0" fillId="0" borderId="1" xfId="0" quotePrefix="1" applyNumberFormat="1" applyBorder="1" applyAlignment="1">
      <alignment horizontal="center"/>
    </xf>
    <xf numFmtId="44" fontId="0" fillId="0" borderId="1" xfId="1" quotePrefix="1" applyFont="1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10" fontId="0" fillId="0" borderId="1" xfId="2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4" fontId="0" fillId="0" borderId="1" xfId="0" applyNumberFormat="1" applyBorder="1"/>
    <xf numFmtId="44" fontId="0" fillId="0" borderId="1" xfId="1" applyFont="1" applyBorder="1"/>
    <xf numFmtId="0" fontId="0" fillId="0" borderId="15" xfId="0" applyBorder="1" applyAlignment="1">
      <alignment horizontal="left"/>
    </xf>
    <xf numFmtId="44" fontId="0" fillId="0" borderId="15" xfId="1" applyFont="1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10" fontId="0" fillId="0" borderId="16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44" fontId="0" fillId="0" borderId="16" xfId="0" applyNumberFormat="1" applyBorder="1"/>
    <xf numFmtId="4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44" fontId="0" fillId="0" borderId="0" xfId="1" applyFont="1" applyBorder="1"/>
    <xf numFmtId="44" fontId="0" fillId="0" borderId="0" xfId="0" applyNumberFormat="1"/>
    <xf numFmtId="0" fontId="0" fillId="0" borderId="17" xfId="0" applyBorder="1"/>
    <xf numFmtId="0" fontId="3" fillId="0" borderId="1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44" fontId="3" fillId="0" borderId="14" xfId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44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4" xfId="0" applyBorder="1" applyAlignment="1">
      <alignment horizontal="left"/>
    </xf>
    <xf numFmtId="44" fontId="0" fillId="0" borderId="0" xfId="0" applyNumberFormat="1" applyAlignment="1">
      <alignment horizontal="center" vertical="center"/>
    </xf>
    <xf numFmtId="44" fontId="0" fillId="0" borderId="15" xfId="1" applyFont="1" applyBorder="1" applyAlignment="1">
      <alignment horizontal="center" vertical="center"/>
    </xf>
    <xf numFmtId="164" fontId="0" fillId="0" borderId="15" xfId="1" applyNumberFormat="1" applyFont="1" applyBorder="1" applyAlignment="1">
      <alignment horizontal="center"/>
    </xf>
    <xf numFmtId="44" fontId="0" fillId="0" borderId="20" xfId="0" applyNumberFormat="1" applyBorder="1" applyAlignment="1">
      <alignment horizontal="center" vertical="center"/>
    </xf>
    <xf numFmtId="44" fontId="0" fillId="0" borderId="15" xfId="1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21" xfId="0" applyBorder="1" applyAlignment="1">
      <alignment horizontal="left"/>
    </xf>
    <xf numFmtId="44" fontId="0" fillId="0" borderId="19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7" xfId="0" applyNumberFormat="1" applyBorder="1"/>
    <xf numFmtId="164" fontId="0" fillId="0" borderId="17" xfId="0" applyNumberFormat="1" applyBorder="1" applyAlignment="1">
      <alignment horizontal="center"/>
    </xf>
    <xf numFmtId="164" fontId="0" fillId="0" borderId="17" xfId="0" applyNumberFormat="1" applyBorder="1"/>
    <xf numFmtId="0" fontId="0" fillId="0" borderId="22" xfId="0" applyBorder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" fontId="2" fillId="2" borderId="1" xfId="0" quotePrefix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4" fontId="3" fillId="0" borderId="3" xfId="0" applyNumberFormat="1" applyFont="1" applyBorder="1" applyAlignment="1">
      <alignment horizontal="center" vertical="center" wrapText="1"/>
    </xf>
    <xf numFmtId="44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1" xfId="0" quotePrefix="1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10" xfId="1" applyFont="1" applyBorder="1" applyAlignment="1">
      <alignment horizontal="center"/>
    </xf>
    <xf numFmtId="4" fontId="0" fillId="0" borderId="16" xfId="0" applyNumberFormat="1" applyBorder="1" applyAlignment="1">
      <alignment horizont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14" fontId="0" fillId="0" borderId="24" xfId="0" applyNumberForma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/>
    </xf>
    <xf numFmtId="0" fontId="0" fillId="0" borderId="28" xfId="0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2" fontId="0" fillId="0" borderId="15" xfId="1" applyNumberFormat="1" applyFont="1" applyBorder="1" applyAlignment="1">
      <alignment horizontal="center"/>
    </xf>
    <xf numFmtId="44" fontId="0" fillId="0" borderId="0" xfId="0" applyNumberFormat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3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double">
          <color auto="1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bottom style="thin">
          <color rgb="FFA6A6A6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double">
          <color auto="1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bottom style="thin">
          <color rgb="FFA6A6A6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double">
          <color auto="1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bottom style="thin">
          <color rgb="FFA6A6A6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border diagonalUp="0" diagonalDown="0" outline="0">
        <left/>
        <right/>
        <top style="double">
          <color rgb="FF000000"/>
        </top>
        <bottom/>
      </border>
    </dxf>
    <dxf>
      <alignment horizontal="center" vertical="bottom" textRotation="0" wrapText="0" indent="0" justifyLastLine="0" shrinkToFit="0" readingOrder="0"/>
    </dxf>
    <dxf>
      <numFmt numFmtId="164" formatCode="0.000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0.000"/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</dxf>
    <dxf>
      <border>
        <top style="double">
          <color rgb="FF000000"/>
        </top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double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double">
          <color auto="1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bottom style="thin">
          <color rgb="FFA6A6A6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border diagonalUp="0" diagonalDown="0" outline="0">
        <left/>
        <right/>
        <top style="double">
          <color rgb="FF000000"/>
        </top>
        <bottom/>
      </border>
    </dxf>
    <dxf>
      <alignment horizontal="center" vertical="bottom" textRotation="0" wrapText="0" indent="0" justifyLastLine="0" shrinkToFit="0" readingOrder="0"/>
    </dxf>
    <dxf>
      <numFmt numFmtId="164" formatCode="0.000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0.000"/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</dxf>
    <dxf>
      <border>
        <top style="double">
          <color rgb="FF000000"/>
        </top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double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double">
          <color auto="1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bottom style="thin">
          <color rgb="FFA6A6A6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/>
        <right/>
        <top style="double">
          <color rgb="FF000000"/>
        </top>
        <bottom/>
      </border>
    </dxf>
    <dxf>
      <alignment horizontal="center" vertical="bottom" textRotation="0" wrapText="0" indent="0" justifyLastLine="0" shrinkToFit="0" readingOrder="0"/>
    </dxf>
    <dxf>
      <numFmt numFmtId="164" formatCode="0.000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0.000"/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</dxf>
    <dxf>
      <border>
        <top style="double">
          <color rgb="FF000000"/>
        </top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double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>
        <left/>
        <right style="thin">
          <color theme="0" tint="-0.34998626667073579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theme="0" tint="-0.34998626667073579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horizontal/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double">
          <color auto="1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border diagonalUp="0" diagonalDown="0" outline="0">
        <left/>
        <right/>
        <top style="double">
          <color rgb="FF000000"/>
        </top>
        <bottom/>
      </border>
    </dxf>
    <dxf>
      <alignment horizontal="center" vertical="bottom" textRotation="0" wrapText="0" indent="0" justifyLastLine="0" shrinkToFit="0" readingOrder="0"/>
    </dxf>
    <dxf>
      <numFmt numFmtId="164" formatCode="0.000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0.000"/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</dxf>
    <dxf>
      <border>
        <top style="double">
          <color rgb="FF000000"/>
        </top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double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double">
          <color auto="1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double">
          <color auto="1"/>
        </top>
        <bottom/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top style="double">
          <color auto="1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bottom style="thin">
          <color rgb="FFA6A6A6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'1-2025'!$P$3</c:f>
              <c:strCache>
                <c:ptCount val="1"/>
                <c:pt idx="0">
                  <c:v>Promedio de Peso
[Gr.]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'1-2025'!$O$4:$O$16</c:f>
              <c:numCache>
                <c:formatCode>m/d/yyyy</c:formatCode>
                <c:ptCount val="13"/>
                <c:pt idx="0">
                  <c:v>45684</c:v>
                </c:pt>
                <c:pt idx="1">
                  <c:v>45735</c:v>
                </c:pt>
                <c:pt idx="2">
                  <c:v>45754</c:v>
                </c:pt>
                <c:pt idx="3">
                  <c:v>45778</c:v>
                </c:pt>
                <c:pt idx="4">
                  <c:v>45816</c:v>
                </c:pt>
                <c:pt idx="5">
                  <c:v>45857</c:v>
                </c:pt>
                <c:pt idx="6">
                  <c:v>45874</c:v>
                </c:pt>
                <c:pt idx="7">
                  <c:v>45882</c:v>
                </c:pt>
                <c:pt idx="8">
                  <c:v>45895</c:v>
                </c:pt>
                <c:pt idx="9">
                  <c:v>45919</c:v>
                </c:pt>
                <c:pt idx="10">
                  <c:v>45934</c:v>
                </c:pt>
                <c:pt idx="11">
                  <c:v>45946</c:v>
                </c:pt>
                <c:pt idx="12">
                  <c:v>45993</c:v>
                </c:pt>
              </c:numCache>
            </c:numRef>
          </c:cat>
          <c:val>
            <c:numRef>
              <c:f>'1-2025'!$P$4:$P$16</c:f>
              <c:numCache>
                <c:formatCode>General</c:formatCode>
                <c:ptCount val="13"/>
                <c:pt idx="0">
                  <c:v>0.6</c:v>
                </c:pt>
                <c:pt idx="1">
                  <c:v>27</c:v>
                </c:pt>
                <c:pt idx="2">
                  <c:v>63</c:v>
                </c:pt>
                <c:pt idx="3">
                  <c:v>83</c:v>
                </c:pt>
                <c:pt idx="4">
                  <c:v>99.4</c:v>
                </c:pt>
                <c:pt idx="5">
                  <c:v>182.4</c:v>
                </c:pt>
                <c:pt idx="6">
                  <c:v>237</c:v>
                </c:pt>
                <c:pt idx="7">
                  <c:v>282</c:v>
                </c:pt>
                <c:pt idx="8">
                  <c:v>330</c:v>
                </c:pt>
                <c:pt idx="9">
                  <c:v>400</c:v>
                </c:pt>
                <c:pt idx="10">
                  <c:v>436</c:v>
                </c:pt>
                <c:pt idx="11">
                  <c:v>470</c:v>
                </c:pt>
                <c:pt idx="12">
                  <c:v>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AB-46DC-81A2-BE9C5B1D2E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96205328"/>
        <c:axId val="1196206288"/>
      </c:lineChart>
      <c:dateAx>
        <c:axId val="11962053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6288"/>
        <c:crosses val="autoZero"/>
        <c:auto val="1"/>
        <c:lblOffset val="100"/>
        <c:baseTimeUnit val="days"/>
      </c:dateAx>
      <c:valAx>
        <c:axId val="11962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'2-2025'!$P$3</c:f>
              <c:strCache>
                <c:ptCount val="1"/>
                <c:pt idx="0">
                  <c:v>Promedio de Peso
[Gr.]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'2-2025'!$O$4:$O$10</c:f>
              <c:numCache>
                <c:formatCode>m/d/yyyy</c:formatCode>
                <c:ptCount val="3"/>
                <c:pt idx="0">
                  <c:v>45946</c:v>
                </c:pt>
                <c:pt idx="1">
                  <c:v>45993</c:v>
                </c:pt>
              </c:numCache>
            </c:numRef>
          </c:cat>
          <c:val>
            <c:numRef>
              <c:f>'2-2025'!$P$4:$P$10</c:f>
              <c:numCache>
                <c:formatCode>General</c:formatCode>
                <c:ptCount val="3"/>
                <c:pt idx="0">
                  <c:v>140</c:v>
                </c:pt>
                <c:pt idx="1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37-4826-9BE9-92E228711B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96205328"/>
        <c:axId val="1196206288"/>
      </c:lineChart>
      <c:dateAx>
        <c:axId val="11962053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6288"/>
        <c:crosses val="autoZero"/>
        <c:auto val="1"/>
        <c:lblOffset val="100"/>
        <c:baseTimeUnit val="days"/>
      </c:dateAx>
      <c:valAx>
        <c:axId val="11962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'3-2025'!$P$3</c:f>
              <c:strCache>
                <c:ptCount val="1"/>
                <c:pt idx="0">
                  <c:v>Promedio de Peso
[Gr.]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'3-2025'!$O$4:$O$10</c:f>
              <c:numCache>
                <c:formatCode>m/d/yyyy</c:formatCode>
                <c:ptCount val="2"/>
                <c:pt idx="0">
                  <c:v>46059</c:v>
                </c:pt>
                <c:pt idx="1">
                  <c:v>46105</c:v>
                </c:pt>
              </c:numCache>
            </c:numRef>
          </c:cat>
          <c:val>
            <c:numRef>
              <c:f>'3-2025'!$P$4:$P$10</c:f>
              <c:numCache>
                <c:formatCode>General</c:formatCode>
                <c:ptCount val="2"/>
                <c:pt idx="0">
                  <c:v>314</c:v>
                </c:pt>
                <c:pt idx="1">
                  <c:v>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11-4C7E-B9F0-555BC3F631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96205328"/>
        <c:axId val="1196206288"/>
      </c:lineChart>
      <c:dateAx>
        <c:axId val="11962053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6288"/>
        <c:crosses val="autoZero"/>
        <c:auto val="1"/>
        <c:lblOffset val="100"/>
        <c:baseTimeUnit val="days"/>
      </c:dateAx>
      <c:valAx>
        <c:axId val="11962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'1-2025'!$P$3</c:f>
              <c:strCache>
                <c:ptCount val="1"/>
                <c:pt idx="0">
                  <c:v>Promedio de Peso
[Gr.]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'1-2025'!$O$4:$O$16</c:f>
              <c:numCache>
                <c:formatCode>m/d/yyyy</c:formatCode>
                <c:ptCount val="13"/>
                <c:pt idx="0">
                  <c:v>45684</c:v>
                </c:pt>
                <c:pt idx="1">
                  <c:v>45735</c:v>
                </c:pt>
                <c:pt idx="2">
                  <c:v>45754</c:v>
                </c:pt>
                <c:pt idx="3">
                  <c:v>45778</c:v>
                </c:pt>
                <c:pt idx="4">
                  <c:v>45816</c:v>
                </c:pt>
                <c:pt idx="5">
                  <c:v>45857</c:v>
                </c:pt>
                <c:pt idx="6">
                  <c:v>45874</c:v>
                </c:pt>
                <c:pt idx="7">
                  <c:v>45882</c:v>
                </c:pt>
                <c:pt idx="8">
                  <c:v>45895</c:v>
                </c:pt>
                <c:pt idx="9">
                  <c:v>45919</c:v>
                </c:pt>
                <c:pt idx="10">
                  <c:v>45934</c:v>
                </c:pt>
                <c:pt idx="11">
                  <c:v>45946</c:v>
                </c:pt>
                <c:pt idx="12">
                  <c:v>45993</c:v>
                </c:pt>
              </c:numCache>
            </c:numRef>
          </c:cat>
          <c:val>
            <c:numRef>
              <c:f>'1-2025'!$P$4:$P$16</c:f>
              <c:numCache>
                <c:formatCode>General</c:formatCode>
                <c:ptCount val="13"/>
                <c:pt idx="0">
                  <c:v>0.6</c:v>
                </c:pt>
                <c:pt idx="1">
                  <c:v>27</c:v>
                </c:pt>
                <c:pt idx="2">
                  <c:v>63</c:v>
                </c:pt>
                <c:pt idx="3">
                  <c:v>83</c:v>
                </c:pt>
                <c:pt idx="4">
                  <c:v>99.4</c:v>
                </c:pt>
                <c:pt idx="5">
                  <c:v>182.4</c:v>
                </c:pt>
                <c:pt idx="6">
                  <c:v>237</c:v>
                </c:pt>
                <c:pt idx="7">
                  <c:v>282</c:v>
                </c:pt>
                <c:pt idx="8">
                  <c:v>330</c:v>
                </c:pt>
                <c:pt idx="9">
                  <c:v>400</c:v>
                </c:pt>
                <c:pt idx="10">
                  <c:v>436</c:v>
                </c:pt>
                <c:pt idx="11">
                  <c:v>470</c:v>
                </c:pt>
                <c:pt idx="12">
                  <c:v>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1-41A1-9551-AC43625185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96205328"/>
        <c:axId val="1196206288"/>
      </c:lineChart>
      <c:dateAx>
        <c:axId val="11962053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6288"/>
        <c:crosses val="autoZero"/>
        <c:auto val="1"/>
        <c:lblOffset val="100"/>
        <c:baseTimeUnit val="days"/>
      </c:dateAx>
      <c:valAx>
        <c:axId val="11962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'2-2025'!$P$3</c:f>
              <c:strCache>
                <c:ptCount val="1"/>
                <c:pt idx="0">
                  <c:v>Promedio de Peso
[Gr.]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'2-2025'!$O$4:$O$10</c:f>
              <c:numCache>
                <c:formatCode>m/d/yyyy</c:formatCode>
                <c:ptCount val="3"/>
                <c:pt idx="0">
                  <c:v>45946</c:v>
                </c:pt>
                <c:pt idx="1">
                  <c:v>45993</c:v>
                </c:pt>
              </c:numCache>
            </c:numRef>
          </c:cat>
          <c:val>
            <c:numRef>
              <c:f>'2-2025'!$P$4:$P$10</c:f>
              <c:numCache>
                <c:formatCode>General</c:formatCode>
                <c:ptCount val="3"/>
                <c:pt idx="0">
                  <c:v>140</c:v>
                </c:pt>
                <c:pt idx="1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5-4778-BB7C-816B2A5B04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96205328"/>
        <c:axId val="1196206288"/>
      </c:lineChart>
      <c:dateAx>
        <c:axId val="11962053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6288"/>
        <c:crosses val="autoZero"/>
        <c:auto val="1"/>
        <c:lblOffset val="100"/>
        <c:baseTimeUnit val="days"/>
      </c:dateAx>
      <c:valAx>
        <c:axId val="11962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'3-2025'!$P$3</c:f>
              <c:strCache>
                <c:ptCount val="1"/>
                <c:pt idx="0">
                  <c:v>Promedio de Peso
[Gr.]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'3-2025'!$O$4:$O$10</c:f>
              <c:numCache>
                <c:formatCode>m/d/yyyy</c:formatCode>
                <c:ptCount val="2"/>
                <c:pt idx="0">
                  <c:v>46059</c:v>
                </c:pt>
                <c:pt idx="1">
                  <c:v>46105</c:v>
                </c:pt>
              </c:numCache>
            </c:numRef>
          </c:cat>
          <c:val>
            <c:numRef>
              <c:f>'3-2025'!$P$4:$P$10</c:f>
              <c:numCache>
                <c:formatCode>General</c:formatCode>
                <c:ptCount val="2"/>
                <c:pt idx="0">
                  <c:v>314</c:v>
                </c:pt>
                <c:pt idx="1">
                  <c:v>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6F-4816-A818-A47D23A64A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96205328"/>
        <c:axId val="1196206288"/>
      </c:lineChart>
      <c:dateAx>
        <c:axId val="11962053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6288"/>
        <c:crosses val="autoZero"/>
        <c:auto val="1"/>
        <c:lblOffset val="100"/>
        <c:baseTimeUnit val="days"/>
      </c:dateAx>
      <c:valAx>
        <c:axId val="11962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16</xdr:row>
      <xdr:rowOff>182562</xdr:rowOff>
    </xdr:from>
    <xdr:to>
      <xdr:col>24</xdr:col>
      <xdr:colOff>12700</xdr:colOff>
      <xdr:row>34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BB97C-DD10-05ED-ECEC-20D970951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11</xdr:row>
      <xdr:rowOff>4762</xdr:rowOff>
    </xdr:from>
    <xdr:to>
      <xdr:col>24</xdr:col>
      <xdr:colOff>9525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3E2C8-CB7F-4CA2-8D65-61A0E739F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11</xdr:row>
      <xdr:rowOff>4762</xdr:rowOff>
    </xdr:from>
    <xdr:to>
      <xdr:col>24</xdr:col>
      <xdr:colOff>9525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7511D-2D5D-4CFB-A720-0D4D9634A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180975</xdr:rowOff>
    </xdr:from>
    <xdr:to>
      <xdr:col>9</xdr:col>
      <xdr:colOff>857250</xdr:colOff>
      <xdr:row>52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428A4-C05B-41BA-A13A-38B8183FB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20</xdr:col>
      <xdr:colOff>0</xdr:colOff>
      <xdr:row>52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EECF00-F7C7-4E7E-9C1E-CB4B5AC28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34</xdr:row>
      <xdr:rowOff>0</xdr:rowOff>
    </xdr:from>
    <xdr:to>
      <xdr:col>30</xdr:col>
      <xdr:colOff>0</xdr:colOff>
      <xdr:row>52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3A8765-11E5-492D-85A9-6DEA6C390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9E3AA-B66B-472E-84EC-705A16170158}" name="Table57" displayName="Table57" ref="B3:J29" totalsRowCount="1" headerRowDxfId="282" headerRowBorderDxfId="281" tableBorderDxfId="280" totalsRowBorderDxfId="279">
  <autoFilter ref="B3:J28" xr:uid="{FE19E3AA-B66B-472E-84EC-705A16170158}"/>
  <tableColumns count="9">
    <tableColumn id="1" xr3:uid="{AD36B100-C20C-4F59-BF77-44DBCE394065}" name="Fecha" dataDxfId="278" totalsRowDxfId="277"/>
    <tableColumn id="2" xr3:uid="{56FEA79D-A43E-465C-9BAF-B2DB10142491}" name="Descripcion" dataDxfId="276" totalsRowDxfId="275"/>
    <tableColumn id="3" xr3:uid="{6152F8DF-E024-4B5C-B8D8-4BC399E48B4E}" name="Piezas" dataDxfId="274" totalsRowDxfId="273"/>
    <tableColumn id="4" xr3:uid="{AF42154B-8B5E-4A27-94A3-908A590CC798}" name="Precio Unitario" dataDxfId="272" totalsRowDxfId="271" dataCellStyle="Currency"/>
    <tableColumn id="5" xr3:uid="{6E329FD9-28E0-4411-A31F-7518C1434C0C}" name="Precio Total" totalsRowFunction="custom" dataDxfId="270" totalsRowDxfId="269" dataCellStyle="Currency">
      <calculatedColumnFormula>D4*E4</calculatedColumnFormula>
      <totalsRowFormula>SUM(F4:F28)</totalsRowFormula>
    </tableColumn>
    <tableColumn id="7" xr3:uid="{16749FE1-1317-4707-BBE6-8BD631DE98C2}" name="Proveedor" dataDxfId="268" totalsRowDxfId="267" dataCellStyle="Currency"/>
    <tableColumn id="6" xr3:uid="{CFAD444B-7C29-4EF6-9D1D-AC30CC45ADB4}" name="Compro" dataDxfId="266" totalsRowDxfId="265" dataCellStyle="Currency"/>
    <tableColumn id="8" xr3:uid="{1AA4E9BA-962D-4252-A9DB-988911BC6BA2}" name="Tipo de Gasto" dataDxfId="264" totalsRowDxfId="263" dataCellStyle="Currency"/>
    <tableColumn id="9" xr3:uid="{DC0482C1-BB30-40FA-A552-EA537DDEE9D2}" name="Observacion" dataDxfId="262" dataCellStyle="Currency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40EF1C-8226-47CB-8065-09811130D013}" name="Table8" displayName="Table8" ref="B32:I34" totalsRowCount="1" headerRowDxfId="261" totalsRowDxfId="258" headerRowBorderDxfId="260" tableBorderDxfId="259" totalsRowBorderDxfId="257">
  <autoFilter ref="B32:I33" xr:uid="{0F40EF1C-8226-47CB-8065-09811130D013}"/>
  <tableColumns count="8">
    <tableColumn id="1" xr3:uid="{A1808D34-2FC3-4E99-91F2-9FAE7342AF45}" name="Animales Iniciales" dataDxfId="256" totalsRowDxfId="255"/>
    <tableColumn id="2" xr3:uid="{6054FC17-B6A2-4A93-8ACC-69B7011CB48F}" name="Participantes" dataDxfId="254" totalsRowDxfId="253"/>
    <tableColumn id="3" xr3:uid="{E32A2D35-DAC4-4C32-BC4F-4DDE97DC578B}" name="Participacion_x000a_[%]" dataDxfId="252" totalsRowDxfId="251" dataCellStyle="Percent">
      <calculatedColumnFormula>(B33*$M$5)/100</calculatedColumnFormula>
    </tableColumn>
    <tableColumn id="4" xr3:uid="{6637CEF7-DAD1-40E6-8766-A4B92CD31495}" name="Animales Restantes" totalsRowFunction="sum" dataDxfId="250" totalsRowDxfId="249">
      <calculatedColumnFormula>$M$7*D33</calculatedColumnFormula>
    </tableColumn>
    <tableColumn id="5" xr3:uid="{B7E64987-E625-46D4-A847-F34256456024}" name="Gasto" totalsRowFunction="sum" dataDxfId="248" totalsRowDxfId="247"/>
    <tableColumn id="6" xr3:uid="{ECF0D582-CC2A-44EF-A6B3-F216E6D273C9}" name="Ingreso" totalsRowFunction="sum" dataDxfId="246" totalsRowDxfId="245"/>
    <tableColumn id="7" xr3:uid="{C3E206BB-1B88-45B6-8BC5-387C6D8F247B}" name="Pago" totalsRowFunction="sum" dataDxfId="244" totalsRowDxfId="243" dataCellStyle="Currency">
      <calculatedColumnFormula>G33</calculatedColumnFormula>
    </tableColumn>
    <tableColumn id="8" xr3:uid="{12E9931F-806A-49B4-9BB2-D06C669180B9}" name="Restante" totalsRowFunction="sum" dataDxfId="242" totalsRowDxfId="241" dataCellStyle="Currency">
      <calculatedColumnFormula>F33-H33</calculatedColumnFormula>
    </tableColumn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7AFB8A-D40D-4923-936B-7433D94B12A8}" name="Table914" displayName="Table914" ref="B37:J77" totalsRowCount="1" headerRowDxfId="240" headerRowBorderDxfId="239" tableBorderDxfId="238" totalsRowBorderDxfId="237">
  <autoFilter ref="B37:J76" xr:uid="{BE7AFB8A-D40D-4923-936B-7433D94B12A8}"/>
  <tableColumns count="9">
    <tableColumn id="1" xr3:uid="{9A9F3F31-C549-49F0-8C04-539F55AE5F82}" name="Fecha" totalsRowFunction="count" dataDxfId="236" totalsRowDxfId="235"/>
    <tableColumn id="2" xr3:uid="{B38D9F08-941B-481D-B857-058CB2DFB1A9}" name="Cliente" dataDxfId="234" totalsRowDxfId="233"/>
    <tableColumn id="7" xr3:uid="{988736F6-371E-4AF0-B710-715ADB94F202}" name="Precio por _x000a_Kg" totalsRowFunction="average" dataDxfId="232" totalsRowDxfId="231" dataCellStyle="Currency"/>
    <tableColumn id="3" xr3:uid="{2E62B353-AEDF-4AA8-B55D-AB4C864F360D}" name="Peso del _x000a_Organismo" totalsRowFunction="sum" dataDxfId="230" totalsRowDxfId="229" dataCellStyle="Currency"/>
    <tableColumn id="4" xr3:uid="{311FFE7F-956C-4E83-A848-076D2603FA16}" name="Precio del _x000a_Organismo" totalsRowFunction="sum" dataDxfId="228" totalsRowDxfId="227" dataCellStyle="Currency">
      <calculatedColumnFormula>Table914[[#This Row],[Precio por 
Kg]]*Table914[[#This Row],[Peso del 
Organismo]]</calculatedColumnFormula>
    </tableColumn>
    <tableColumn id="5" xr3:uid="{2AC13A14-9861-4C6B-BA25-31D012A18313}" name="Pendiente" totalsRowFunction="sum" dataDxfId="226" totalsRowDxfId="225" dataCellStyle="Currency"/>
    <tableColumn id="8" xr3:uid="{05C4DE04-98F3-468D-9949-CD5B598FE670}" name="Pago" totalsRowFunction="sum" dataDxfId="224" totalsRowDxfId="223">
      <calculatedColumnFormula>Table914[[#This Row],[Precio del 
Organismo]]-Table914[[#This Row],[Pendiente]]</calculatedColumnFormula>
    </tableColumn>
    <tableColumn id="6" xr3:uid="{2B571BE1-7A13-4AF0-ACFC-8D435C90B7A7}" name="Observaciones" dataDxfId="222" totalsRowDxfId="221"/>
    <tableColumn id="9" xr3:uid="{E84A7F2F-0A22-4778-82D8-3DF20D24DE41}" name="Metodo de Pago" dataDxfId="220" totalsRowDxfId="219"/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BC6FC8-AD7D-4CD7-A20E-71EA51A89A19}" name="Table4" displayName="Table4" ref="O3:P21" totalsRowShown="0" headerRowDxfId="218">
  <autoFilter ref="O3:P21" xr:uid="{DEBC6FC8-AD7D-4CD7-A20E-71EA51A89A19}"/>
  <tableColumns count="2">
    <tableColumn id="1" xr3:uid="{F9EE9505-F26F-4122-9E75-2799059FDC9F}" name="Fecha" dataDxfId="217"/>
    <tableColumn id="2" xr3:uid="{9CA67BE5-CBB7-484E-88A6-129EAEDE7F7A}" name="Promedio de Peso_x000a_[Gr.]" dataDxfId="216"/>
  </tableColumns>
  <tableStyleInfo name="TableStyleMedium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FBFF90-98B8-43D6-A136-6F0A78B488CC}" name="Table576" displayName="Table576" ref="B3:J18" totalsRowCount="1" headerRowDxfId="215" headerRowBorderDxfId="214" tableBorderDxfId="213" totalsRowBorderDxfId="212">
  <autoFilter ref="B3:J17" xr:uid="{FE19E3AA-B66B-472E-84EC-705A16170158}"/>
  <tableColumns count="9">
    <tableColumn id="1" xr3:uid="{77B6B2D7-224E-48EC-BC7C-4A7E28A6ED2F}" name="Fecha" dataDxfId="211" totalsRowDxfId="210"/>
    <tableColumn id="2" xr3:uid="{16F0CEC4-A18B-4819-8F9A-D6D8688B4925}" name="Descripcion" dataDxfId="209" totalsRowDxfId="208"/>
    <tableColumn id="3" xr3:uid="{C6772B3E-0822-4907-A3CF-E4BDB9A0E736}" name="Piezas" dataDxfId="207" totalsRowDxfId="206"/>
    <tableColumn id="4" xr3:uid="{F7F09426-E968-4FF2-B27C-FA6CF9C950DD}" name="Precio Unitario" dataDxfId="205" totalsRowDxfId="204" dataCellStyle="Currency">
      <calculatedColumnFormula>_xlfn.XLOOKUP(Table576[[#This Row],[Descripcion]],Parametros!$B$3:$B$12,Parametros!$F$3:$F$12, "NO ENCONTRADO")</calculatedColumnFormula>
    </tableColumn>
    <tableColumn id="5" xr3:uid="{32BE5C9F-3BE3-4F66-B3BA-7205BB841EFC}" name="Precio Total" totalsRowFunction="custom" dataDxfId="203" totalsRowDxfId="202" dataCellStyle="Currency">
      <calculatedColumnFormula>D4*E4</calculatedColumnFormula>
      <totalsRowFormula>SUM(F4:F17)</totalsRowFormula>
    </tableColumn>
    <tableColumn id="7" xr3:uid="{CED3D173-614C-4F08-A5CE-62A7A62C31E6}" name="Proveedor" dataDxfId="201" totalsRowDxfId="200" dataCellStyle="Currency">
      <calculatedColumnFormula>_xlfn.XLOOKUP(Table576[[#This Row],[Descripcion]],Parametros!$B$3:$B$12,Parametros!$D$3:$D$12, "NO ENCONTRADO")</calculatedColumnFormula>
    </tableColumn>
    <tableColumn id="6" xr3:uid="{5913AEF5-AF0E-4AA3-B83B-B958D78F27AA}" name="Compro" dataDxfId="199" totalsRowDxfId="198" dataCellStyle="Currency"/>
    <tableColumn id="8" xr3:uid="{5ED2E1F0-A1B2-42CE-964D-8E812B30D4BA}" name="Tipo de Gasto" dataDxfId="197" totalsRowDxfId="196" dataCellStyle="Currency"/>
    <tableColumn id="9" xr3:uid="{06E5A77D-3C97-4A10-A9E0-A120066EA3C9}" name="Observacion" dataDxfId="195" totalsRowDxfId="194" dataCellStyle="Currency"/>
  </tableColumns>
  <tableStyleInfo name="TableStyleMedium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5BF4B3-138B-4CC2-9A25-2D175C581425}" name="Table87" displayName="Table87" ref="B20:I22" totalsRowCount="1" headerRowDxfId="193" totalsRowDxfId="190" headerRowBorderDxfId="192" tableBorderDxfId="191" totalsRowBorderDxfId="189">
  <autoFilter ref="B20:I21" xr:uid="{0F40EF1C-8226-47CB-8065-09811130D013}"/>
  <tableColumns count="8">
    <tableColumn id="1" xr3:uid="{3A99B56B-9A1E-4681-9F42-01708BC3A386}" name="Animales Iniciales" dataDxfId="188" totalsRowDxfId="187">
      <calculatedColumnFormula>M5</calculatedColumnFormula>
    </tableColumn>
    <tableColumn id="2" xr3:uid="{D9245D1B-402E-426F-BDA4-D0C71E232E7A}" name="Participantes" dataDxfId="186" totalsRowDxfId="185"/>
    <tableColumn id="3" xr3:uid="{866D2118-1878-4BE7-B4DC-0DAE710EACC2}" name="Participacion_x000a_[%]" dataDxfId="184" totalsRowDxfId="183" dataCellStyle="Percent">
      <calculatedColumnFormula>(B21*$M$11)/100</calculatedColumnFormula>
    </tableColumn>
    <tableColumn id="4" xr3:uid="{001A8C75-B212-4270-AB92-891AEF93A221}" name="Animales Restantes" totalsRowFunction="sum" dataDxfId="182" totalsRowDxfId="181">
      <calculatedColumnFormula>$M$10*D21</calculatedColumnFormula>
    </tableColumn>
    <tableColumn id="5" xr3:uid="{025EDBEF-9E67-4CAF-8207-8A057019D8C3}" name="Gasto" totalsRowFunction="sum" dataDxfId="180" totalsRowDxfId="179">
      <calculatedColumnFormula>Table576[[#Totals],[Precio Total]]</calculatedColumnFormula>
    </tableColumn>
    <tableColumn id="6" xr3:uid="{5E6ECF7B-0E8C-4BAB-9BA8-FF63D72BC9DC}" name="Ingreso" totalsRowFunction="sum" dataDxfId="178" totalsRowDxfId="177">
      <calculatedColumnFormula>(Table9148[[#Totals],[Pago]]/$M$10)*E21</calculatedColumnFormula>
    </tableColumn>
    <tableColumn id="7" xr3:uid="{DF94049D-44A7-47E6-A459-37A008DD74EB}" name="Pago" totalsRowFunction="sum" dataDxfId="176" totalsRowDxfId="175" dataCellStyle="Currency">
      <calculatedColumnFormula>G21</calculatedColumnFormula>
    </tableColumn>
    <tableColumn id="8" xr3:uid="{9FEB5AA4-6A80-46DA-8CBA-83A91E661891}" name="Restante" totalsRowFunction="sum" dataDxfId="174" totalsRowDxfId="173" dataCellStyle="Currency">
      <calculatedColumnFormula>F21-H21</calculatedColumnFormula>
    </tableColumn>
  </tableColumns>
  <tableStyleInfo name="TableStyleMedium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988B92-0F87-47D8-BC70-195F19021A56}" name="Table9148" displayName="Table9148" ref="B25:J35" totalsRowCount="1" headerRowDxfId="172" headerRowBorderDxfId="171" tableBorderDxfId="170" totalsRowBorderDxfId="169">
  <autoFilter ref="B25:J34" xr:uid="{BE7AFB8A-D40D-4923-936B-7433D94B12A8}"/>
  <tableColumns count="9">
    <tableColumn id="1" xr3:uid="{4584D99F-8C9D-4006-BC78-F8D8F7AEBF83}" name="Fecha" totalsRowFunction="count" dataDxfId="168" totalsRowDxfId="167"/>
    <tableColumn id="2" xr3:uid="{9F474312-EB23-4D45-95D8-4D195A5AB579}" name="Cliente" dataDxfId="166" totalsRowDxfId="165"/>
    <tableColumn id="7" xr3:uid="{3C088C27-CB0D-4306-BD0B-A42F69CBCEAD}" name="Precio por _x000a_Kg" totalsRowFunction="average" dataDxfId="164" totalsRowDxfId="163" dataCellStyle="Currency"/>
    <tableColumn id="3" xr3:uid="{4A9FA533-40F6-4DD1-B62A-B24F71DDF12C}" name="Peso del _x000a_Organismo" totalsRowFunction="sum" dataDxfId="162" totalsRowDxfId="161" dataCellStyle="Currency"/>
    <tableColumn id="4" xr3:uid="{73D208B7-7000-486F-968B-93EF34CD15B4}" name="Precio del _x000a_Organismo" totalsRowFunction="sum" dataDxfId="160" totalsRowDxfId="159" dataCellStyle="Currency">
      <calculatedColumnFormula>Table9148[[#This Row],[Precio por 
Kg]]*Table9148[[#This Row],[Peso del 
Organismo]]</calculatedColumnFormula>
    </tableColumn>
    <tableColumn id="5" xr3:uid="{E974D97B-C546-4DEB-B520-7737DF16924E}" name="Pendiente" totalsRowFunction="sum" dataDxfId="158" totalsRowDxfId="157" dataCellStyle="Currency"/>
    <tableColumn id="8" xr3:uid="{E9F15E8B-022C-4205-A98C-EE46FA474686}" name="Pago" totalsRowFunction="sum" dataDxfId="156" totalsRowDxfId="155">
      <calculatedColumnFormula>Table9148[[#This Row],[Precio del 
Organismo]]-Table9148[[#This Row],[Pendiente]]</calculatedColumnFormula>
    </tableColumn>
    <tableColumn id="6" xr3:uid="{B59E81C0-C5C6-49E4-9D22-10DA49ED7FC5}" name="Observaciones" dataDxfId="154" totalsRowDxfId="153"/>
    <tableColumn id="9" xr3:uid="{1A196511-E747-47DB-B1D4-8C9B899FD0B8}" name="Metodo de Pago" dataDxfId="152" totalsRowDxfId="151"/>
  </tableColumns>
  <tableStyleInfo name="TableStyleMedium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841591-C931-4107-A22D-ED89933A0834}" name="Table49" displayName="Table49" ref="O3:Q16" totalsRowShown="0" headerRowDxfId="150">
  <autoFilter ref="O3:Q16" xr:uid="{DEBC6FC8-AD7D-4CD7-A20E-71EA51A89A19}"/>
  <tableColumns count="3">
    <tableColumn id="1" xr3:uid="{BDBDAAED-7F63-4173-94BA-61180904B962}" name="Fecha" dataDxfId="149"/>
    <tableColumn id="2" xr3:uid="{3B7645EF-27B1-40E8-8B3B-98E50F033023}" name="Promedio de Peso_x000a_[Gr.]" dataDxfId="148"/>
    <tableColumn id="3" xr3:uid="{16492ECF-8466-4071-B463-DEA2F05123AE}" name="Dias Transcurridos"/>
  </tableColumns>
  <tableStyleInfo name="TableStyleMedium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2AAAF1-A330-496B-B40A-898012BD8F0D}" name="Table57610" displayName="Table57610" ref="B3:J10" totalsRowCount="1" headerRowDxfId="147" headerRowBorderDxfId="146" tableBorderDxfId="145" totalsRowBorderDxfId="144">
  <autoFilter ref="B3:J9" xr:uid="{FE19E3AA-B66B-472E-84EC-705A16170158}">
    <filterColumn colId="1">
      <filters>
        <filter val="3.5 mm 3205 Aqua 32% Proteina"/>
      </filters>
    </filterColumn>
  </autoFilter>
  <tableColumns count="9">
    <tableColumn id="1" xr3:uid="{A0944D98-4D6D-4164-A3DD-4832D835CF5F}" name="Fecha" dataDxfId="143" totalsRowDxfId="142"/>
    <tableColumn id="2" xr3:uid="{39FF33D6-6C52-4EE8-99B7-D93F4211D773}" name="Descripcion" dataDxfId="141" totalsRowDxfId="140"/>
    <tableColumn id="3" xr3:uid="{09990E33-5054-452D-98C3-94AA0485D1A2}" name="Piezas" dataDxfId="139" totalsRowDxfId="138"/>
    <tableColumn id="4" xr3:uid="{A1C6A356-FA95-4D5B-9A43-B64CAE06619E}" name="Precio Unitario" dataDxfId="137" totalsRowDxfId="136" dataCellStyle="Currency">
      <calculatedColumnFormula>_xlfn.XLOOKUP(Table57610[[#This Row],[Descripcion]],Parametros!$B$3:$B$12,Parametros!$F$3:$F$12, "NO ENCONTRADO")</calculatedColumnFormula>
    </tableColumn>
    <tableColumn id="5" xr3:uid="{5C725E6B-C803-4D4F-818F-F87C0A8621D1}" name="Precio Total" totalsRowFunction="custom" dataDxfId="135" totalsRowDxfId="134" dataCellStyle="Currency">
      <calculatedColumnFormula>D4*E4</calculatedColumnFormula>
      <totalsRowFormula>SUM(F4:F9)</totalsRowFormula>
    </tableColumn>
    <tableColumn id="7" xr3:uid="{ED77D551-F90A-4F21-AF8B-9AE4052BDCB3}" name="Proveedor" dataDxfId="133" totalsRowDxfId="132" dataCellStyle="Currency">
      <calculatedColumnFormula>_xlfn.XLOOKUP(Table57610[[#This Row],[Descripcion]],Parametros!$B$3:$B$12,Parametros!$D$3:$D$12, "NO ENCONTRADO")</calculatedColumnFormula>
    </tableColumn>
    <tableColumn id="6" xr3:uid="{EE4ECF57-BCF4-4E30-853C-B34ABDE37BE7}" name="Compro" dataDxfId="131" totalsRowDxfId="130" dataCellStyle="Currency"/>
    <tableColumn id="8" xr3:uid="{5F435255-518A-4ED7-87B0-7593CCF1AAA0}" name="Tipo de Gasto" dataDxfId="129" totalsRowDxfId="128" dataCellStyle="Currency"/>
    <tableColumn id="9" xr3:uid="{01CDDEB3-4E44-477C-A682-38D464A79763}" name="Observacion" dataDxfId="127" totalsRowDxfId="126" dataCellStyle="Currency"/>
  </tableColumns>
  <tableStyleInfo name="TableStyleMedium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EB3C21-402C-4D02-A938-7F14D464E7DC}" name="Table8711" displayName="Table8711" ref="B12:I14" totalsRowCount="1" headerRowDxfId="125" totalsRowDxfId="122" headerRowBorderDxfId="124" tableBorderDxfId="123" totalsRowBorderDxfId="121">
  <autoFilter ref="B12:I13" xr:uid="{0F40EF1C-8226-47CB-8065-09811130D013}"/>
  <tableColumns count="8">
    <tableColumn id="1" xr3:uid="{1F814ECF-C2AC-41A0-B8AD-DE456C510497}" name="Animales Iniciales" dataDxfId="120" totalsRowDxfId="119">
      <calculatedColumnFormula>M5</calculatedColumnFormula>
    </tableColumn>
    <tableColumn id="2" xr3:uid="{66B0C1BB-594E-44E6-91FE-A9977FA31E3B}" name="Participantes" dataDxfId="118" totalsRowDxfId="117"/>
    <tableColumn id="3" xr3:uid="{5E982E7B-D2A6-4C94-A647-6047CF07D5F4}" name="Participacion_x000a_[%]" dataDxfId="116" totalsRowDxfId="115" dataCellStyle="Percent">
      <calculatedColumnFormula>(B13*$M$11)/100</calculatedColumnFormula>
    </tableColumn>
    <tableColumn id="4" xr3:uid="{41626933-9837-4357-81E3-64151AA75EC8}" name="Animales Restantes" totalsRowFunction="sum" dataDxfId="114" totalsRowDxfId="113">
      <calculatedColumnFormula>$M$10*D13</calculatedColumnFormula>
    </tableColumn>
    <tableColumn id="5" xr3:uid="{B21F0669-FE94-4EB9-95BC-8ADF2DE545BB}" name="Gasto" totalsRowFunction="sum" dataDxfId="112" totalsRowDxfId="111">
      <calculatedColumnFormula>Table57610[[#Totals],[Precio Total]]</calculatedColumnFormula>
    </tableColumn>
    <tableColumn id="6" xr3:uid="{8849CFB2-2BC9-4E39-94CD-8633446FF04A}" name="Ingreso" totalsRowFunction="sum" dataDxfId="110" totalsRowDxfId="109">
      <calculatedColumnFormula>(Table914812[[#Totals],[Pago]]/$M$10)*E13</calculatedColumnFormula>
    </tableColumn>
    <tableColumn id="7" xr3:uid="{B42FE3EB-990B-4BA9-8288-7882C961792B}" name="Pago" totalsRowFunction="sum" dataDxfId="108" totalsRowDxfId="107" dataCellStyle="Currency">
      <calculatedColumnFormula>G13</calculatedColumnFormula>
    </tableColumn>
    <tableColumn id="8" xr3:uid="{119F3DE6-2AC0-4156-85FC-1DC199C3C207}" name="Restante" totalsRowFunction="sum" dataDxfId="106" totalsRowDxfId="105" dataCellStyle="Currency">
      <calculatedColumnFormula>F13-H13</calculatedColumnFormula>
    </tableColumn>
  </tableColumns>
  <tableStyleInfo name="TableStyleMedium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AD3192-408C-4597-B7F5-23ADE4EA85D3}" name="Table914812" displayName="Table914812" ref="B17:J22" totalsRowCount="1" headerRowDxfId="104" headerRowBorderDxfId="103" tableBorderDxfId="102" totalsRowBorderDxfId="101">
  <autoFilter ref="B17:J21" xr:uid="{BE7AFB8A-D40D-4923-936B-7433D94B12A8}"/>
  <tableColumns count="9">
    <tableColumn id="1" xr3:uid="{898E2008-4849-40DD-AB83-5062E6B217CB}" name="Fecha" totalsRowFunction="count" dataDxfId="100" totalsRowDxfId="99"/>
    <tableColumn id="2" xr3:uid="{A20AA296-8F2F-49FA-A972-4FB9DB77561E}" name="Cliente" dataDxfId="98" totalsRowDxfId="97"/>
    <tableColumn id="7" xr3:uid="{6A65E3AD-8943-42D5-8E13-7BAD6163C4AF}" name="Precio por _x000a_Kg" totalsRowFunction="average" dataDxfId="96" totalsRowDxfId="95" dataCellStyle="Currency"/>
    <tableColumn id="3" xr3:uid="{95DA98E9-8AD4-46D8-B9E6-6AE3295BEA64}" name="Peso del _x000a_Organismo" totalsRowFunction="sum" dataDxfId="94" totalsRowDxfId="93" dataCellStyle="Currency"/>
    <tableColumn id="4" xr3:uid="{63E7C87F-4C8E-484D-9339-C5C82A4DB0F3}" name="Precio del _x000a_Organismo" totalsRowFunction="sum" dataDxfId="92" totalsRowDxfId="91" dataCellStyle="Currency">
      <calculatedColumnFormula>Table914812[[#This Row],[Precio por 
Kg]]*Table914812[[#This Row],[Peso del 
Organismo]]</calculatedColumnFormula>
    </tableColumn>
    <tableColumn id="5" xr3:uid="{2B658D2D-0950-4FB7-AB65-ED373B61B8ED}" name="Pendiente" totalsRowFunction="sum" dataDxfId="90" totalsRowDxfId="89" dataCellStyle="Currency"/>
    <tableColumn id="8" xr3:uid="{1300BF82-CB2C-4982-AF9F-20BEF0C7592C}" name="Pago" totalsRowFunction="sum" dataDxfId="88" totalsRowDxfId="87">
      <calculatedColumnFormula>Table914812[[#This Row],[Precio del 
Organismo]]-Table914812[[#This Row],[Pendiente]]</calculatedColumnFormula>
    </tableColumn>
    <tableColumn id="6" xr3:uid="{0A5B55E1-1797-4B1F-B7F4-07CC75BDC098}" name="Observaciones" dataDxfId="86" totalsRowDxfId="85"/>
    <tableColumn id="9" xr3:uid="{520923CE-D4A8-4757-B6FF-A9E721D73242}" name="Metodo de Pago" dataDxfId="84" totalsRowDxfId="83"/>
  </tableColumns>
  <tableStyleInfo name="TableStyleMedium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5035F5-B42D-4572-96A1-4AD7DE5BC94F}" name="Table4913" displayName="Table4913" ref="O3:Q10" totalsRowShown="0" headerRowDxfId="82">
  <autoFilter ref="O3:Q10" xr:uid="{DEBC6FC8-AD7D-4CD7-A20E-71EA51A89A19}"/>
  <tableColumns count="3">
    <tableColumn id="1" xr3:uid="{1B800935-B8BD-423E-B302-68B004EBDEE3}" name="Fecha" dataDxfId="81"/>
    <tableColumn id="2" xr3:uid="{B6FFBAA8-1B94-469B-8BD6-433FD734B9B0}" name="Promedio de Peso_x000a_[Gr.]" dataDxfId="80"/>
    <tableColumn id="3" xr3:uid="{4C8EE498-4401-4875-9356-BFD3D1EB2E50}" name="Dias Transcurridos"/>
  </tableColumns>
  <tableStyleInfo name="TableStyleMedium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4F7B71-1DD0-4ABB-A8D5-477844D8E379}" name="Table5761014" displayName="Table5761014" ref="B3:J10" totalsRowCount="1" headerRowDxfId="350" headerRowBorderDxfId="349" tableBorderDxfId="348" totalsRowBorderDxfId="347">
  <autoFilter ref="B3:J9" xr:uid="{FE19E3AA-B66B-472E-84EC-705A16170158}">
    <filterColumn colId="1">
      <filters>
        <filter val="5.0 mm 3005 Aqua 30% Proteina"/>
      </filters>
    </filterColumn>
  </autoFilter>
  <tableColumns count="9">
    <tableColumn id="1" xr3:uid="{C565FA3F-15B8-4AFB-B564-08B28164406D}" name="Fecha" dataDxfId="346" totalsRowDxfId="345"/>
    <tableColumn id="2" xr3:uid="{2BDEB366-FC40-4BA0-978A-7E8DCAADD42F}" name="Descripcion" dataDxfId="344" totalsRowDxfId="343"/>
    <tableColumn id="3" xr3:uid="{3A4D4AD9-943B-4F79-A0F4-0A5497D07ADC}" name="Piezas" dataDxfId="342" totalsRowDxfId="341"/>
    <tableColumn id="4" xr3:uid="{ED438BA5-AE49-42EF-AC2D-D21FDC579258}" name="Precio Unitario" dataDxfId="340" totalsRowDxfId="339" dataCellStyle="Currency">
      <calculatedColumnFormula>_xlfn.XLOOKUP(Table5761014[[#This Row],[Descripcion]],Parametros!$B$3:$B$12,Parametros!$F$3:$F$12, "NO ENCONTRADO")</calculatedColumnFormula>
    </tableColumn>
    <tableColumn id="5" xr3:uid="{AB34A783-2C58-4B65-81E4-6387CB5BE716}" name="Precio Total" totalsRowFunction="custom" dataDxfId="338" totalsRowDxfId="337" dataCellStyle="Currency">
      <calculatedColumnFormula>D4*E4</calculatedColumnFormula>
      <totalsRowFormula>SUM(F4:F9)</totalsRowFormula>
    </tableColumn>
    <tableColumn id="7" xr3:uid="{7A10F7C6-A1E9-4FD1-90A8-0B89DD60867E}" name="Proveedor" dataDxfId="336" totalsRowDxfId="335" dataCellStyle="Currency">
      <calculatedColumnFormula>_xlfn.XLOOKUP(Table57610[[#This Row],[Descripcion]],Parametros!$B$3:$B$12,Parametros!$D$3:$D$12, "NO ENCONTRADO")</calculatedColumnFormula>
    </tableColumn>
    <tableColumn id="6" xr3:uid="{50148E5F-0A0A-4555-B3F8-1E0DA1AD40B5}" name="Compro" dataDxfId="334" totalsRowDxfId="333" dataCellStyle="Currency"/>
    <tableColumn id="8" xr3:uid="{C97D3747-4B2C-4D4E-99AC-736A894C2805}" name="Tipo de Gasto" dataDxfId="332" totalsRowDxfId="331" dataCellStyle="Currency"/>
    <tableColumn id="9" xr3:uid="{2B5BC48C-57A6-4974-8B44-6E488E24B172}" name="Observacion" dataDxfId="330" totalsRowDxfId="329" dataCellStyle="Currency"/>
  </tableColumns>
  <tableStyleInfo name="TableStyleMedium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AFB242C-5C96-431E-A4E6-764F47E947AC}" name="Table871115" displayName="Table871115" ref="B12:I14" totalsRowCount="1" headerRowDxfId="328" totalsRowDxfId="325" headerRowBorderDxfId="327" tableBorderDxfId="326" totalsRowBorderDxfId="324">
  <autoFilter ref="B12:I13" xr:uid="{0F40EF1C-8226-47CB-8065-09811130D013}"/>
  <tableColumns count="8">
    <tableColumn id="1" xr3:uid="{0698CF77-1CEA-4479-AE13-B649DF5B0E9A}" name="Animales Iniciales" dataDxfId="323" totalsRowDxfId="322">
      <calculatedColumnFormula>M5</calculatedColumnFormula>
    </tableColumn>
    <tableColumn id="2" xr3:uid="{98FA60BD-8CDB-410D-9D4F-BE4215D5E631}" name="Participantes" dataDxfId="321" totalsRowDxfId="320"/>
    <tableColumn id="3" xr3:uid="{DF172176-362F-414C-933F-AE3AF8A383E0}" name="Participacion_x000a_[%]" dataDxfId="319" totalsRowDxfId="318" dataCellStyle="Percent">
      <calculatedColumnFormula>(B13*$M$11)/100</calculatedColumnFormula>
    </tableColumn>
    <tableColumn id="4" xr3:uid="{E177FB73-D8D1-4B0A-B4C3-46E099620B1E}" name="Animales Restantes" totalsRowFunction="sum" dataDxfId="317" totalsRowDxfId="316">
      <calculatedColumnFormula>$M$10*D13</calculatedColumnFormula>
    </tableColumn>
    <tableColumn id="5" xr3:uid="{C8852A96-27C9-4904-ACAB-61B4BBD56990}" name="Gasto" totalsRowFunction="sum" dataDxfId="315" totalsRowDxfId="314"/>
    <tableColumn id="6" xr3:uid="{FA2107F5-80AF-45C2-9B45-20C8AA202F52}" name="Ingreso" totalsRowFunction="sum" dataDxfId="313" totalsRowDxfId="312">
      <calculatedColumnFormula>(Table91481216[[#Totals],[Pago]]/$M$10)*E13</calculatedColumnFormula>
    </tableColumn>
    <tableColumn id="7" xr3:uid="{5181656C-5DD4-47F9-96EE-FD1AE66DAF66}" name="Pago" totalsRowFunction="sum" dataDxfId="311" totalsRowDxfId="310" dataCellStyle="Currency">
      <calculatedColumnFormula>G13</calculatedColumnFormula>
    </tableColumn>
    <tableColumn id="8" xr3:uid="{69D5F435-6705-44F2-AE19-B460CFC19DB0}" name="Restante" totalsRowFunction="sum" dataDxfId="309" totalsRowDxfId="308" dataCellStyle="Currency">
      <calculatedColumnFormula>F13-H13</calculatedColumnFormula>
    </tableColumn>
  </tableColumns>
  <tableStyleInfo name="TableStyleMedium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0B67560-95E5-42D0-B6C5-325BC7DF43E5}" name="Table91481216" displayName="Table91481216" ref="B17:J22" totalsRowCount="1" headerRowDxfId="307" headerRowBorderDxfId="306" tableBorderDxfId="305" totalsRowBorderDxfId="304">
  <autoFilter ref="B17:J21" xr:uid="{BE7AFB8A-D40D-4923-936B-7433D94B12A8}"/>
  <tableColumns count="9">
    <tableColumn id="1" xr3:uid="{9FFE59BC-EE1C-4E7E-A7F7-9C741E134828}" name="Fecha" totalsRowFunction="count" dataDxfId="303" totalsRowDxfId="302"/>
    <tableColumn id="2" xr3:uid="{498CD34A-44E3-4F7C-8FF8-C5129D4F6F2F}" name="Cliente" dataDxfId="301" totalsRowDxfId="300"/>
    <tableColumn id="7" xr3:uid="{AB8CAC2C-EFFE-4627-8B21-C04B27B7BD52}" name="Precio por _x000a_Kg" totalsRowFunction="average" dataDxfId="299" totalsRowDxfId="298" dataCellStyle="Currency"/>
    <tableColumn id="3" xr3:uid="{B688B70D-DDB4-45B6-AE23-ACCF6A830F17}" name="Peso del _x000a_Organismo" totalsRowFunction="sum" dataDxfId="297" totalsRowDxfId="296" dataCellStyle="Currency"/>
    <tableColumn id="4" xr3:uid="{5CE3A937-00AE-4487-9E0E-9FA966973D7D}" name="Precio del _x000a_Organismo" totalsRowFunction="sum" dataDxfId="295" totalsRowDxfId="294" dataCellStyle="Currency">
      <calculatedColumnFormula>Table91481216[[#This Row],[Precio por 
Kg]]*Table91481216[[#This Row],[Peso del 
Organismo]]</calculatedColumnFormula>
    </tableColumn>
    <tableColumn id="5" xr3:uid="{DD0FF376-548B-47B7-B108-8FE9BD7C8B74}" name="Pendiente" totalsRowFunction="sum" dataDxfId="293" totalsRowDxfId="292" dataCellStyle="Currency"/>
    <tableColumn id="8" xr3:uid="{6943D31F-5BB5-4B06-AD17-AF01FE9884D8}" name="Pago" totalsRowFunction="sum" dataDxfId="291" totalsRowDxfId="290">
      <calculatedColumnFormula>Table91481216[[#This Row],[Precio del 
Organismo]]-Table91481216[[#This Row],[Pendiente]]</calculatedColumnFormula>
    </tableColumn>
    <tableColumn id="6" xr3:uid="{05F43091-5501-4275-B966-5FA208A28B14}" name="Observaciones" dataDxfId="289" totalsRowDxfId="288"/>
    <tableColumn id="9" xr3:uid="{2D08E8B7-07F0-4731-BAC6-47B66A70A718}" name="Metodo de Pago" dataDxfId="287" totalsRowDxfId="286"/>
  </tableColumns>
  <tableStyleInfo name="TableStyleMedium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F199164-572C-44C7-B368-C2373A30660F}" name="Table491317" displayName="Table491317" ref="O3:Q10" totalsRowShown="0" headerRowDxfId="285">
  <autoFilter ref="O3:Q10" xr:uid="{DEBC6FC8-AD7D-4CD7-A20E-71EA51A89A19}"/>
  <tableColumns count="3">
    <tableColumn id="1" xr3:uid="{2750FDA3-2D2E-4D58-AB0A-0EB9C6E8D5E2}" name="Fecha" dataDxfId="284"/>
    <tableColumn id="2" xr3:uid="{5FE54EE6-CAAC-40ED-BEB8-FAB4D7FCBDE1}" name="Promedio de Peso_x000a_[Gr.]" dataDxfId="283"/>
    <tableColumn id="3" xr3:uid="{ABEA5537-C87A-4228-BA32-46E60B5E81ED}" name="Dias Transcurridos"/>
  </tableColumns>
  <tableStyleInfo name="TableStyleMedium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88B3D13-BC0E-4828-91EB-B3DB23821A61}" name="Table57618" displayName="Table57618" ref="B4:J16" totalsRowCount="1" headerRowDxfId="79" headerRowBorderDxfId="78" tableBorderDxfId="77" totalsRowBorderDxfId="76">
  <autoFilter ref="B4:J15" xr:uid="{E88B3D13-BC0E-4828-91EB-B3DB23821A61}"/>
  <tableColumns count="9">
    <tableColumn id="1" xr3:uid="{4ABD115C-B56F-43A5-974A-F4BECB0A3886}" name="Fecha" dataDxfId="75" totalsRowDxfId="74"/>
    <tableColumn id="2" xr3:uid="{41BB6B81-6BC4-4CDD-B3BE-FB2CBD215660}" name="Descripcion" dataDxfId="73" totalsRowDxfId="72"/>
    <tableColumn id="3" xr3:uid="{C97212E1-DDBE-4B22-BF2D-5019E920CAED}" name="Piezas" dataDxfId="71" totalsRowDxfId="70"/>
    <tableColumn id="4" xr3:uid="{D382E319-4E03-4916-8F66-DE6F272E0B3B}" name="Precio Unitario" dataDxfId="69" totalsRowDxfId="68" dataCellStyle="Currency">
      <calculatedColumnFormula>_xlfn.XLOOKUP(Table57618[[#This Row],[Descripcion]],Parametros!$B$3:$B$12,Parametros!$F$3:$F$12, "NO ENCONTRADO")</calculatedColumnFormula>
    </tableColumn>
    <tableColumn id="5" xr3:uid="{2F193109-63F1-47F3-BA82-4DE37810832E}" name="Precio Total" totalsRowFunction="custom" dataDxfId="67" totalsRowDxfId="66" dataCellStyle="Currency">
      <calculatedColumnFormula>D5*E5</calculatedColumnFormula>
      <totalsRowFormula>SUM(F5:F15)</totalsRowFormula>
    </tableColumn>
    <tableColumn id="7" xr3:uid="{AD780A5B-28EC-4037-9FBE-E9941B053C23}" name="Proveedor" dataDxfId="65" totalsRowDxfId="64" dataCellStyle="Currency">
      <calculatedColumnFormula>_xlfn.XLOOKUP(Table57618[[#This Row],[Descripcion]],Parametros!$B$3:$B$12,Parametros!$D$3:$D$12, "NO ENCONTRADO")</calculatedColumnFormula>
    </tableColumn>
    <tableColumn id="6" xr3:uid="{93A5FEDE-840B-42E1-A767-D99449DA5C0E}" name="Compro" dataDxfId="63" totalsRowDxfId="62" dataCellStyle="Currency"/>
    <tableColumn id="8" xr3:uid="{F1393E33-C83F-4668-A274-5A85C2DBA98E}" name="Tipo de Gasto" dataDxfId="61" totalsRowDxfId="60" dataCellStyle="Currency"/>
    <tableColumn id="9" xr3:uid="{D8C73B55-06CE-4A0B-B4C1-E3CF04663A6D}" name="Observacion" dataDxfId="59" totalsRowDxfId="58" dataCellStyle="Currency"/>
  </tableColumns>
  <tableStyleInfo name="TableStyleMedium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6457C5-E049-42B2-9353-1BB55C26D0AC}" name="Table4919" displayName="Table4919" ref="F19:H27" totalsRowShown="0" headerRowDxfId="57">
  <autoFilter ref="F19:H27" xr:uid="{D26457C5-E049-42B2-9353-1BB55C26D0AC}"/>
  <tableColumns count="3">
    <tableColumn id="1" xr3:uid="{D74AF432-F741-477B-B5F8-25AB64A2BBA1}" name="Fecha" dataDxfId="56"/>
    <tableColumn id="2" xr3:uid="{315686E3-665B-4BEC-983B-828184662C76}" name="Promedio de Peso_x000a_[Gr.]" dataDxfId="55"/>
    <tableColumn id="3" xr3:uid="{6595D9FA-2B87-4EEA-8CBC-0FAE2A369F0A}" name="Dias Transcurridos"/>
  </tableColumns>
  <tableStyleInfo name="TableStyleMedium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8AAD3DA-7B7C-43E9-892B-AB6DFE2EF460}" name="Table5761020" displayName="Table5761020" ref="L4:T8" totalsRowCount="1" headerRowDxfId="54" headerRowBorderDxfId="53" tableBorderDxfId="52" totalsRowBorderDxfId="51">
  <autoFilter ref="L4:T7" xr:uid="{28AAD3DA-7B7C-43E9-892B-AB6DFE2EF460}"/>
  <tableColumns count="9">
    <tableColumn id="1" xr3:uid="{B99F93D1-4D63-4BFE-9050-62F7F6EEEAAB}" name="Fecha" dataDxfId="50" totalsRowDxfId="49"/>
    <tableColumn id="2" xr3:uid="{8A9D6DA3-B68D-42D8-8F2B-F03ACDD37E80}" name="Descripcion" dataDxfId="48" totalsRowDxfId="47"/>
    <tableColumn id="3" xr3:uid="{0FFAF0AA-D06B-4A9C-9B64-204C58364223}" name="Piezas" dataDxfId="46" totalsRowDxfId="45"/>
    <tableColumn id="4" xr3:uid="{3EC89F0A-BCE6-4199-B4D6-CBE9B564085B}" name="Precio Unitario" dataDxfId="44" totalsRowDxfId="43" dataCellStyle="Currency">
      <calculatedColumnFormula>_xlfn.XLOOKUP(Table5761020[[#This Row],[Descripcion]],Parametros!$B$3:$B$12,Parametros!$F$3:$F$12, "NO ENCONTRADO")</calculatedColumnFormula>
    </tableColumn>
    <tableColumn id="5" xr3:uid="{E2800540-A21C-41B0-8EC8-66A28EBCC950}" name="Precio Total" totalsRowFunction="custom" dataDxfId="42" totalsRowDxfId="41" dataCellStyle="Currency">
      <calculatedColumnFormula>N5*O5</calculatedColumnFormula>
      <totalsRowFormula>SUM(P5:P7)</totalsRowFormula>
    </tableColumn>
    <tableColumn id="7" xr3:uid="{C71336A5-79C7-49E9-849C-297BC459D67C}" name="Proveedor" dataDxfId="40" totalsRowDxfId="39" dataCellStyle="Currency">
      <calculatedColumnFormula>_xlfn.XLOOKUP(Table5761020[[#This Row],[Descripcion]],Parametros!$B$3:$B$12,Parametros!$D$3:$D$12, "NO ENCONTRADO")</calculatedColumnFormula>
    </tableColumn>
    <tableColumn id="6" xr3:uid="{C4A608A7-E435-435E-BAC7-FCA55132CC7D}" name="Compro" dataDxfId="38" totalsRowDxfId="37" dataCellStyle="Currency"/>
    <tableColumn id="8" xr3:uid="{CBD98543-BB6C-4CD7-A6C3-C6D593F0326E}" name="Tipo de Gasto" dataDxfId="36" totalsRowDxfId="35" dataCellStyle="Currency"/>
    <tableColumn id="9" xr3:uid="{44E8415D-C4AB-4B8A-9371-113D7EC2BBC5}" name="Observacion" dataDxfId="34" totalsRowDxfId="33" dataCellStyle="Currency"/>
  </tableColumns>
  <tableStyleInfo name="TableStyleMedium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CC7F85D-B572-43C7-82DB-9BA397A83730}" name="Table576101421" displayName="Table576101421" ref="V4:AD7" totalsRowCount="1" headerRowDxfId="32" headerRowBorderDxfId="31" tableBorderDxfId="30" totalsRowBorderDxfId="29">
  <autoFilter ref="V4:AD6" xr:uid="{DCC7F85D-B572-43C7-82DB-9BA397A83730}"/>
  <tableColumns count="9">
    <tableColumn id="1" xr3:uid="{7FB53DAC-D164-404B-A70F-F634160354A4}" name="Fecha" dataDxfId="28" totalsRowDxfId="27"/>
    <tableColumn id="2" xr3:uid="{C00EAE64-8855-4121-89AC-8B1B512D2E22}" name="Descripcion" dataDxfId="26" totalsRowDxfId="25"/>
    <tableColumn id="3" xr3:uid="{123F0A6D-9D5F-48A0-88B3-13C6CD73CCA4}" name="Piezas" dataDxfId="24" totalsRowDxfId="23"/>
    <tableColumn id="4" xr3:uid="{489A7D39-626B-4B1D-B290-B75AAE0FAF40}" name="Precio Unitario" dataDxfId="22" totalsRowDxfId="21" dataCellStyle="Currency"/>
    <tableColumn id="5" xr3:uid="{4B6CCF2B-564E-48CE-862D-8B0980FF769F}" name="Precio Total" totalsRowFunction="custom" dataDxfId="20" totalsRowDxfId="19" dataCellStyle="Currency">
      <calculatedColumnFormula>X5*Y5</calculatedColumnFormula>
      <totalsRowFormula>SUM(Z5:Z6)</totalsRowFormula>
    </tableColumn>
    <tableColumn id="7" xr3:uid="{A4A4C2F2-CE7D-4821-AB64-398285CEA171}" name="Proveedor" dataDxfId="18" totalsRowDxfId="17" dataCellStyle="Currency">
      <calculatedColumnFormula>_xlfn.XLOOKUP(Table57610[[#This Row],[Descripcion]],Parametros!$B$3:$B$12,Parametros!$D$3:$D$12, "NO ENCONTRADO")</calculatedColumnFormula>
    </tableColumn>
    <tableColumn id="6" xr3:uid="{835968A1-6115-4831-88A2-80AF7C3D7C5E}" name="Compro" dataDxfId="16" totalsRowDxfId="15" dataCellStyle="Currency"/>
    <tableColumn id="8" xr3:uid="{A272620F-6775-4144-A9E3-383ADA74906E}" name="Tipo de Gasto" dataDxfId="14" totalsRowDxfId="13" dataCellStyle="Currency"/>
    <tableColumn id="9" xr3:uid="{BCACC10D-99FB-46CC-90D0-F8FA191FED74}" name="Observacion" dataDxfId="12" totalsRowDxfId="11" dataCellStyle="Currency"/>
  </tableColumns>
  <tableStyleInfo name="TableStyleMedium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013B30F-11CB-4F28-8C2A-65E3F5BA8D2E}" name="Table21" displayName="Table21" ref="B2:F183" totalsRowCount="1" dataDxfId="10">
  <autoFilter ref="B2:F182" xr:uid="{9013B30F-11CB-4F28-8C2A-65E3F5BA8D2E}"/>
  <tableColumns count="5">
    <tableColumn id="1" xr3:uid="{23E99491-6C13-4272-B8F8-00AADD554605}" name="Dias" totalsRowLabel="Total" dataDxfId="9" totalsRowDxfId="8"/>
    <tableColumn id="2" xr3:uid="{EE96395D-1CA5-4DB6-8B82-8485131F62E0}" name="Costo de _x000a_Alevines" totalsRowFunction="sum" dataDxfId="7" totalsRowDxfId="6"/>
    <tableColumn id="3" xr3:uid="{5F387760-18F7-4F9E-9962-D46B0E4D5C3C}" name="Renta de _x000a_Estanque" totalsRowFunction="sum" dataDxfId="5" totalsRowDxfId="4" dataCellStyle="Currency"/>
    <tableColumn id="4" xr3:uid="{99AF3CE2-01AD-481F-9976-600AC858F589}" name="Renta de _x000a_Aereadores" totalsRowFunction="sum" dataDxfId="3" totalsRowDxfId="2"/>
    <tableColumn id="5" xr3:uid="{B20156D8-E587-4BF2-AAC1-F1EA7128F9DE}" name="Mano de_x000a_Obra" totalsRowFunction="sum" dataDxfId="1" totalsRow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F2C5-503C-4363-B9E8-F3B2EB8441F8}">
  <dimension ref="B2:P77"/>
  <sheetViews>
    <sheetView workbookViewId="0">
      <selection activeCell="C4" sqref="C4:C25"/>
    </sheetView>
  </sheetViews>
  <sheetFormatPr defaultRowHeight="15" x14ac:dyDescent="0.25"/>
  <cols>
    <col min="1" max="1" width="1.7109375" customWidth="1"/>
    <col min="2" max="2" width="10.85546875" bestFit="1" customWidth="1"/>
    <col min="3" max="3" width="55.140625" bestFit="1" customWidth="1"/>
    <col min="4" max="4" width="11.28515625" bestFit="1" customWidth="1"/>
    <col min="5" max="5" width="12.7109375" bestFit="1" customWidth="1"/>
    <col min="6" max="6" width="11.7109375" bestFit="1" customWidth="1"/>
    <col min="7" max="7" width="21.5703125" bestFit="1" customWidth="1"/>
    <col min="8" max="8" width="13.28515625" bestFit="1" customWidth="1"/>
    <col min="9" max="9" width="15.7109375" bestFit="1" customWidth="1"/>
    <col min="10" max="10" width="15.7109375" customWidth="1"/>
    <col min="11" max="11" width="1.7109375" customWidth="1"/>
    <col min="12" max="12" width="33.5703125" bestFit="1" customWidth="1"/>
    <col min="13" max="13" width="14.5703125" bestFit="1" customWidth="1"/>
    <col min="14" max="14" width="1.7109375" customWidth="1"/>
    <col min="15" max="15" width="10.85546875" bestFit="1" customWidth="1"/>
    <col min="16" max="16" width="17.7109375" customWidth="1"/>
  </cols>
  <sheetData>
    <row r="2" spans="2:16" x14ac:dyDescent="0.25">
      <c r="B2" s="112" t="s">
        <v>0</v>
      </c>
      <c r="C2" s="112"/>
      <c r="D2" s="112"/>
      <c r="E2" s="112"/>
      <c r="F2" s="112"/>
      <c r="G2" s="112"/>
      <c r="H2" s="112"/>
      <c r="I2" s="112"/>
      <c r="J2" s="112"/>
      <c r="L2" s="113" t="s">
        <v>34</v>
      </c>
      <c r="M2" s="113"/>
      <c r="O2" s="112" t="s">
        <v>86</v>
      </c>
      <c r="P2" s="112"/>
    </row>
    <row r="3" spans="2:16" s="35" customFormat="1" ht="30" x14ac:dyDescent="0.25">
      <c r="B3" s="1" t="s">
        <v>1</v>
      </c>
      <c r="C3" s="2" t="s">
        <v>2</v>
      </c>
      <c r="D3" s="2" t="s">
        <v>3</v>
      </c>
      <c r="E3" s="3" t="s">
        <v>4</v>
      </c>
      <c r="F3" s="4" t="s">
        <v>5</v>
      </c>
      <c r="G3" s="4" t="s">
        <v>6</v>
      </c>
      <c r="H3" s="3" t="s">
        <v>7</v>
      </c>
      <c r="I3" s="2" t="s">
        <v>8</v>
      </c>
      <c r="J3" s="2" t="s">
        <v>63</v>
      </c>
      <c r="L3" s="36" t="s">
        <v>35</v>
      </c>
      <c r="M3" s="37" t="s">
        <v>87</v>
      </c>
      <c r="O3" s="35" t="s">
        <v>1</v>
      </c>
      <c r="P3" s="85" t="s">
        <v>89</v>
      </c>
    </row>
    <row r="4" spans="2:16" x14ac:dyDescent="0.25">
      <c r="B4" s="5">
        <v>45707</v>
      </c>
      <c r="C4" s="6" t="s">
        <v>9</v>
      </c>
      <c r="D4" s="7">
        <v>1</v>
      </c>
      <c r="E4" s="8">
        <v>450</v>
      </c>
      <c r="F4" s="8">
        <f t="shared" ref="F4:F28" si="0">D4*E4</f>
        <v>450</v>
      </c>
      <c r="G4" s="9" t="s">
        <v>10</v>
      </c>
      <c r="H4" s="9" t="s">
        <v>11</v>
      </c>
      <c r="I4" s="9" t="s">
        <v>12</v>
      </c>
      <c r="J4" s="6"/>
      <c r="L4" s="25" t="s">
        <v>37</v>
      </c>
      <c r="M4" s="26" t="s">
        <v>88</v>
      </c>
      <c r="O4" s="69">
        <v>45378</v>
      </c>
      <c r="P4" s="35">
        <v>0.1</v>
      </c>
    </row>
    <row r="5" spans="2:16" x14ac:dyDescent="0.25">
      <c r="B5" s="5">
        <v>45717</v>
      </c>
      <c r="C5" s="6" t="s">
        <v>13</v>
      </c>
      <c r="D5" s="7">
        <v>1</v>
      </c>
      <c r="E5" s="8">
        <v>22</v>
      </c>
      <c r="F5" s="10">
        <f t="shared" si="0"/>
        <v>22</v>
      </c>
      <c r="G5" s="9" t="s">
        <v>10</v>
      </c>
      <c r="H5" s="9" t="s">
        <v>11</v>
      </c>
      <c r="I5" s="9" t="s">
        <v>14</v>
      </c>
      <c r="J5" s="6"/>
      <c r="L5" s="25" t="s">
        <v>38</v>
      </c>
      <c r="M5" s="27">
        <v>70</v>
      </c>
      <c r="O5" s="69">
        <v>45414</v>
      </c>
      <c r="P5" s="35">
        <v>26</v>
      </c>
    </row>
    <row r="6" spans="2:16" x14ac:dyDescent="0.25">
      <c r="B6" s="5">
        <v>45720</v>
      </c>
      <c r="C6" s="6" t="s">
        <v>15</v>
      </c>
      <c r="D6" s="7">
        <v>1</v>
      </c>
      <c r="E6" s="8">
        <v>218.55500000000001</v>
      </c>
      <c r="F6" s="10">
        <f t="shared" si="0"/>
        <v>218.55500000000001</v>
      </c>
      <c r="G6" s="9" t="s">
        <v>16</v>
      </c>
      <c r="H6" s="9" t="s">
        <v>11</v>
      </c>
      <c r="I6" s="9" t="s">
        <v>14</v>
      </c>
      <c r="J6" s="6"/>
      <c r="L6" s="25" t="s">
        <v>39</v>
      </c>
      <c r="M6" s="28">
        <v>1</v>
      </c>
      <c r="O6" s="69">
        <v>45423</v>
      </c>
      <c r="P6" s="35">
        <v>40</v>
      </c>
    </row>
    <row r="7" spans="2:16" x14ac:dyDescent="0.25">
      <c r="B7" s="5">
        <v>45726</v>
      </c>
      <c r="C7" s="6" t="s">
        <v>17</v>
      </c>
      <c r="D7" s="7">
        <v>1</v>
      </c>
      <c r="E7" s="8">
        <v>438</v>
      </c>
      <c r="F7" s="10">
        <f t="shared" si="0"/>
        <v>438</v>
      </c>
      <c r="G7" s="9" t="s">
        <v>18</v>
      </c>
      <c r="H7" s="9" t="s">
        <v>11</v>
      </c>
      <c r="I7" s="9" t="s">
        <v>14</v>
      </c>
      <c r="J7" s="6"/>
      <c r="L7" s="25" t="s">
        <v>40</v>
      </c>
      <c r="M7" s="28">
        <f>F28</f>
        <v>224.5</v>
      </c>
      <c r="O7" s="69">
        <v>45451</v>
      </c>
      <c r="P7" s="35">
        <v>71</v>
      </c>
    </row>
    <row r="8" spans="2:16" x14ac:dyDescent="0.25">
      <c r="B8" s="5">
        <v>45728</v>
      </c>
      <c r="C8" s="6" t="s">
        <v>19</v>
      </c>
      <c r="D8" s="7">
        <v>1</v>
      </c>
      <c r="E8" s="8">
        <v>225</v>
      </c>
      <c r="F8" s="8">
        <f t="shared" si="0"/>
        <v>225</v>
      </c>
      <c r="G8" s="9" t="s">
        <v>10</v>
      </c>
      <c r="H8" s="9" t="s">
        <v>11</v>
      </c>
      <c r="I8" s="9" t="s">
        <v>12</v>
      </c>
      <c r="J8" s="6"/>
      <c r="L8" s="25" t="s">
        <v>41</v>
      </c>
      <c r="M8" s="28">
        <f>F28/M10</f>
        <v>3.2071428571428573</v>
      </c>
      <c r="O8" s="69">
        <v>45467</v>
      </c>
      <c r="P8" s="35">
        <v>110</v>
      </c>
    </row>
    <row r="9" spans="2:16" x14ac:dyDescent="0.25">
      <c r="B9" s="5">
        <v>45728</v>
      </c>
      <c r="C9" s="6"/>
      <c r="D9" s="7">
        <v>1</v>
      </c>
      <c r="E9" s="8">
        <v>265</v>
      </c>
      <c r="F9" s="10">
        <f t="shared" si="0"/>
        <v>265</v>
      </c>
      <c r="G9" s="9" t="s">
        <v>10</v>
      </c>
      <c r="H9" s="9" t="s">
        <v>11</v>
      </c>
      <c r="I9" s="9" t="s">
        <v>14</v>
      </c>
      <c r="J9" s="6"/>
      <c r="L9" s="25" t="s">
        <v>42</v>
      </c>
      <c r="M9" s="27"/>
      <c r="O9" s="69">
        <v>45482</v>
      </c>
      <c r="P9" s="35">
        <v>126.4</v>
      </c>
    </row>
    <row r="10" spans="2:16" x14ac:dyDescent="0.25">
      <c r="B10" s="5">
        <v>45735</v>
      </c>
      <c r="C10" s="6" t="s">
        <v>17</v>
      </c>
      <c r="D10" s="7">
        <v>1</v>
      </c>
      <c r="E10" s="8">
        <v>440</v>
      </c>
      <c r="F10" s="10">
        <f t="shared" si="0"/>
        <v>440</v>
      </c>
      <c r="G10" s="9" t="s">
        <v>18</v>
      </c>
      <c r="H10" s="9" t="s">
        <v>11</v>
      </c>
      <c r="I10" s="9" t="s">
        <v>14</v>
      </c>
      <c r="J10" s="6"/>
      <c r="L10" s="25" t="s">
        <v>43</v>
      </c>
      <c r="M10" s="27">
        <f>M5-M9</f>
        <v>70</v>
      </c>
      <c r="O10" s="69">
        <v>45500</v>
      </c>
      <c r="P10" s="35">
        <v>166</v>
      </c>
    </row>
    <row r="11" spans="2:16" x14ac:dyDescent="0.25">
      <c r="B11" s="5">
        <v>45741</v>
      </c>
      <c r="C11" s="6" t="s">
        <v>20</v>
      </c>
      <c r="D11" s="7">
        <v>1</v>
      </c>
      <c r="E11" s="8">
        <v>357</v>
      </c>
      <c r="F11" s="10">
        <f t="shared" si="0"/>
        <v>357</v>
      </c>
      <c r="G11" s="9" t="s">
        <v>21</v>
      </c>
      <c r="H11" s="11" t="s">
        <v>11</v>
      </c>
      <c r="I11" s="9" t="s">
        <v>14</v>
      </c>
      <c r="J11" s="6"/>
      <c r="L11" s="25" t="s">
        <v>44</v>
      </c>
      <c r="M11" s="29">
        <f>100/M5</f>
        <v>1.4285714285714286</v>
      </c>
      <c r="O11" s="69">
        <v>45516</v>
      </c>
      <c r="P11" s="35">
        <v>233</v>
      </c>
    </row>
    <row r="12" spans="2:16" x14ac:dyDescent="0.25">
      <c r="B12" s="5">
        <v>45747</v>
      </c>
      <c r="C12" s="6" t="s">
        <v>22</v>
      </c>
      <c r="D12" s="7">
        <v>2</v>
      </c>
      <c r="E12" s="8">
        <v>449</v>
      </c>
      <c r="F12" s="12">
        <f t="shared" si="0"/>
        <v>898</v>
      </c>
      <c r="G12" s="9" t="s">
        <v>18</v>
      </c>
      <c r="H12" s="9" t="s">
        <v>11</v>
      </c>
      <c r="I12" s="9" t="s">
        <v>14</v>
      </c>
      <c r="J12" s="6"/>
      <c r="L12" s="25" t="s">
        <v>45</v>
      </c>
      <c r="M12" s="30">
        <v>64</v>
      </c>
      <c r="O12" s="69">
        <v>45531</v>
      </c>
      <c r="P12" s="35">
        <v>271</v>
      </c>
    </row>
    <row r="13" spans="2:16" x14ac:dyDescent="0.25">
      <c r="B13" s="5">
        <v>45747</v>
      </c>
      <c r="C13" s="6" t="s">
        <v>23</v>
      </c>
      <c r="D13" s="7">
        <v>0.5</v>
      </c>
      <c r="E13" s="8">
        <v>448.33</v>
      </c>
      <c r="F13" s="10">
        <f t="shared" si="0"/>
        <v>224.16499999999999</v>
      </c>
      <c r="G13" s="9" t="s">
        <v>24</v>
      </c>
      <c r="H13" s="9" t="s">
        <v>11</v>
      </c>
      <c r="I13" s="9" t="s">
        <v>12</v>
      </c>
      <c r="J13" s="6"/>
      <c r="L13" s="25" t="s">
        <v>46</v>
      </c>
      <c r="M13" s="31">
        <f>M10-M12</f>
        <v>6</v>
      </c>
      <c r="O13" s="69">
        <v>45545</v>
      </c>
      <c r="P13" s="35">
        <v>327</v>
      </c>
    </row>
    <row r="14" spans="2:16" x14ac:dyDescent="0.25">
      <c r="B14" s="5">
        <v>45750</v>
      </c>
      <c r="C14" s="6" t="s">
        <v>25</v>
      </c>
      <c r="D14" s="7">
        <v>1</v>
      </c>
      <c r="E14" s="8">
        <v>378.63</v>
      </c>
      <c r="F14" s="10">
        <f t="shared" si="0"/>
        <v>378.63</v>
      </c>
      <c r="G14" s="9" t="s">
        <v>26</v>
      </c>
      <c r="H14" s="9" t="s">
        <v>11</v>
      </c>
      <c r="I14" s="9" t="s">
        <v>12</v>
      </c>
      <c r="J14" s="6"/>
      <c r="L14" s="25" t="s">
        <v>47</v>
      </c>
      <c r="M14" s="32">
        <v>217.25000000000003</v>
      </c>
      <c r="O14" s="69">
        <v>45560</v>
      </c>
      <c r="P14" s="35">
        <v>400</v>
      </c>
    </row>
    <row r="15" spans="2:16" x14ac:dyDescent="0.25">
      <c r="B15" s="5">
        <v>45750</v>
      </c>
      <c r="C15" s="6" t="s">
        <v>27</v>
      </c>
      <c r="D15" s="7">
        <v>1</v>
      </c>
      <c r="E15" s="8">
        <v>35</v>
      </c>
      <c r="F15" s="8">
        <f t="shared" si="0"/>
        <v>35</v>
      </c>
      <c r="G15" s="9" t="s">
        <v>24</v>
      </c>
      <c r="H15" s="9" t="s">
        <v>11</v>
      </c>
      <c r="I15" s="9" t="s">
        <v>14</v>
      </c>
      <c r="J15" s="6"/>
      <c r="L15" s="25" t="s">
        <v>48</v>
      </c>
      <c r="M15" s="32">
        <f>M14/M12</f>
        <v>3.3945312500000004</v>
      </c>
      <c r="O15" s="69">
        <v>45575</v>
      </c>
      <c r="P15" s="35">
        <v>463</v>
      </c>
    </row>
    <row r="16" spans="2:16" x14ac:dyDescent="0.25">
      <c r="B16" s="5">
        <v>45754</v>
      </c>
      <c r="C16" s="6" t="s">
        <v>22</v>
      </c>
      <c r="D16" s="7">
        <v>2</v>
      </c>
      <c r="E16" s="8">
        <v>449</v>
      </c>
      <c r="F16" s="12">
        <f t="shared" si="0"/>
        <v>898</v>
      </c>
      <c r="G16" s="9" t="s">
        <v>18</v>
      </c>
      <c r="H16" s="9" t="s">
        <v>11</v>
      </c>
      <c r="I16" s="9" t="s">
        <v>12</v>
      </c>
      <c r="J16" s="6"/>
      <c r="L16" s="25" t="s">
        <v>49</v>
      </c>
      <c r="M16" s="26" t="s">
        <v>50</v>
      </c>
      <c r="O16" s="69">
        <v>45590</v>
      </c>
      <c r="P16" s="35">
        <v>507</v>
      </c>
    </row>
    <row r="17" spans="2:16" x14ac:dyDescent="0.25">
      <c r="B17" s="5">
        <v>45754</v>
      </c>
      <c r="C17" s="6" t="s">
        <v>28</v>
      </c>
      <c r="D17" s="7">
        <v>1</v>
      </c>
      <c r="E17" s="8">
        <v>45.335000000000001</v>
      </c>
      <c r="F17" s="10">
        <f t="shared" si="0"/>
        <v>45.335000000000001</v>
      </c>
      <c r="G17" s="9" t="s">
        <v>24</v>
      </c>
      <c r="H17" s="9" t="s">
        <v>11</v>
      </c>
      <c r="I17" s="9" t="s">
        <v>12</v>
      </c>
      <c r="J17" s="6"/>
      <c r="L17" s="33" t="s">
        <v>51</v>
      </c>
      <c r="M17" s="30">
        <f>M16-M4</f>
        <v>402</v>
      </c>
      <c r="O17" s="69">
        <v>45612</v>
      </c>
      <c r="P17" s="35">
        <v>693</v>
      </c>
    </row>
    <row r="18" spans="2:16" x14ac:dyDescent="0.25">
      <c r="B18" s="5">
        <v>45769</v>
      </c>
      <c r="C18" s="6" t="s">
        <v>29</v>
      </c>
      <c r="D18" s="7">
        <v>2</v>
      </c>
      <c r="E18" s="8">
        <v>200</v>
      </c>
      <c r="F18" s="10">
        <f t="shared" si="0"/>
        <v>400</v>
      </c>
      <c r="G18" s="9" t="s">
        <v>18</v>
      </c>
      <c r="H18" s="9" t="s">
        <v>11</v>
      </c>
      <c r="I18" s="9" t="s">
        <v>14</v>
      </c>
      <c r="J18" s="6"/>
      <c r="O18" s="69">
        <v>45636</v>
      </c>
      <c r="P18" s="35">
        <v>360</v>
      </c>
    </row>
    <row r="19" spans="2:16" x14ac:dyDescent="0.25">
      <c r="B19" s="5">
        <v>45769</v>
      </c>
      <c r="C19" s="6" t="s">
        <v>22</v>
      </c>
      <c r="D19" s="7">
        <v>1.5</v>
      </c>
      <c r="E19" s="8">
        <v>449</v>
      </c>
      <c r="F19" s="10">
        <f t="shared" si="0"/>
        <v>673.5</v>
      </c>
      <c r="G19" s="9" t="s">
        <v>18</v>
      </c>
      <c r="H19" s="9" t="s">
        <v>11</v>
      </c>
      <c r="I19" s="9" t="s">
        <v>14</v>
      </c>
      <c r="J19" s="6"/>
      <c r="O19" s="69">
        <v>45652</v>
      </c>
      <c r="P19" s="35">
        <v>380</v>
      </c>
    </row>
    <row r="20" spans="2:16" x14ac:dyDescent="0.25">
      <c r="B20" s="5">
        <v>45770</v>
      </c>
      <c r="C20" s="6" t="s">
        <v>30</v>
      </c>
      <c r="D20" s="7">
        <v>0.5</v>
      </c>
      <c r="E20" s="8">
        <v>57.884</v>
      </c>
      <c r="F20" s="10">
        <f t="shared" si="0"/>
        <v>28.942</v>
      </c>
      <c r="G20" s="13" t="s">
        <v>21</v>
      </c>
      <c r="H20" s="9" t="s">
        <v>11</v>
      </c>
      <c r="I20" s="9" t="s">
        <v>14</v>
      </c>
      <c r="J20" s="6"/>
      <c r="O20" s="69">
        <v>45677</v>
      </c>
      <c r="P20" s="35">
        <v>266</v>
      </c>
    </row>
    <row r="21" spans="2:16" x14ac:dyDescent="0.25">
      <c r="B21" s="5">
        <v>45770</v>
      </c>
      <c r="C21" s="6" t="s">
        <v>31</v>
      </c>
      <c r="D21" s="7">
        <v>0.5</v>
      </c>
      <c r="E21" s="8">
        <v>42.084800000000001</v>
      </c>
      <c r="F21" s="10">
        <f t="shared" si="0"/>
        <v>21.042400000000001</v>
      </c>
      <c r="G21" s="13" t="s">
        <v>21</v>
      </c>
      <c r="H21" s="9" t="s">
        <v>11</v>
      </c>
      <c r="I21" s="9" t="s">
        <v>14</v>
      </c>
      <c r="J21" s="6"/>
      <c r="O21" s="69">
        <v>45695</v>
      </c>
      <c r="P21" s="35">
        <v>350</v>
      </c>
    </row>
    <row r="22" spans="2:16" x14ac:dyDescent="0.25">
      <c r="B22" s="5">
        <v>45778</v>
      </c>
      <c r="C22" s="6" t="s">
        <v>32</v>
      </c>
      <c r="D22" s="7">
        <v>1</v>
      </c>
      <c r="E22" s="8">
        <v>160</v>
      </c>
      <c r="F22" s="10">
        <f t="shared" si="0"/>
        <v>160</v>
      </c>
      <c r="G22" s="9" t="s">
        <v>10</v>
      </c>
      <c r="H22" s="9" t="s">
        <v>11</v>
      </c>
      <c r="I22" s="9" t="s">
        <v>12</v>
      </c>
      <c r="J22" s="6"/>
    </row>
    <row r="23" spans="2:16" x14ac:dyDescent="0.25">
      <c r="B23" s="5">
        <v>45779</v>
      </c>
      <c r="C23" s="6" t="s">
        <v>22</v>
      </c>
      <c r="D23" s="7">
        <v>2</v>
      </c>
      <c r="E23" s="8">
        <v>449</v>
      </c>
      <c r="F23" s="10">
        <f t="shared" si="0"/>
        <v>898</v>
      </c>
      <c r="G23" s="9" t="s">
        <v>18</v>
      </c>
      <c r="H23" s="9" t="s">
        <v>11</v>
      </c>
      <c r="I23" s="9" t="s">
        <v>14</v>
      </c>
      <c r="J23" s="6"/>
    </row>
    <row r="24" spans="2:16" x14ac:dyDescent="0.25">
      <c r="B24" s="5">
        <v>45779</v>
      </c>
      <c r="C24" s="6" t="s">
        <v>29</v>
      </c>
      <c r="D24" s="7">
        <v>1</v>
      </c>
      <c r="E24" s="8">
        <v>200</v>
      </c>
      <c r="F24" s="10">
        <f t="shared" si="0"/>
        <v>200</v>
      </c>
      <c r="G24" s="9" t="s">
        <v>18</v>
      </c>
      <c r="H24" s="9" t="s">
        <v>11</v>
      </c>
      <c r="I24" s="9" t="s">
        <v>14</v>
      </c>
      <c r="J24" s="6"/>
    </row>
    <row r="25" spans="2:16" x14ac:dyDescent="0.25">
      <c r="B25" s="5">
        <v>45790</v>
      </c>
      <c r="C25" s="6" t="s">
        <v>22</v>
      </c>
      <c r="D25" s="7">
        <v>1</v>
      </c>
      <c r="E25" s="8">
        <v>449</v>
      </c>
      <c r="F25" s="10">
        <f t="shared" si="0"/>
        <v>449</v>
      </c>
      <c r="G25" s="9" t="s">
        <v>18</v>
      </c>
      <c r="H25" s="9" t="s">
        <v>11</v>
      </c>
      <c r="I25" s="9" t="s">
        <v>14</v>
      </c>
      <c r="J25" s="6"/>
    </row>
    <row r="26" spans="2:16" x14ac:dyDescent="0.25">
      <c r="B26" s="5">
        <v>45790</v>
      </c>
      <c r="C26" s="6" t="s">
        <v>29</v>
      </c>
      <c r="D26" s="7">
        <v>1</v>
      </c>
      <c r="E26" s="8">
        <v>205</v>
      </c>
      <c r="F26" s="10">
        <f t="shared" si="0"/>
        <v>205</v>
      </c>
      <c r="G26" s="9" t="s">
        <v>18</v>
      </c>
      <c r="H26" s="9" t="s">
        <v>11</v>
      </c>
      <c r="I26" s="9" t="s">
        <v>14</v>
      </c>
      <c r="J26" s="6"/>
    </row>
    <row r="27" spans="2:16" x14ac:dyDescent="0.25">
      <c r="B27" s="5">
        <v>45797</v>
      </c>
      <c r="C27" s="6" t="s">
        <v>33</v>
      </c>
      <c r="D27" s="7">
        <v>0.5</v>
      </c>
      <c r="E27" s="8">
        <v>333.23</v>
      </c>
      <c r="F27" s="10">
        <f>D27*E27</f>
        <v>166.61500000000001</v>
      </c>
      <c r="G27" s="9" t="s">
        <v>24</v>
      </c>
      <c r="H27" s="9" t="s">
        <v>11</v>
      </c>
      <c r="I27" s="9" t="s">
        <v>12</v>
      </c>
      <c r="J27" s="6"/>
    </row>
    <row r="28" spans="2:16" ht="15.75" thickBot="1" x14ac:dyDescent="0.3">
      <c r="B28" s="14">
        <v>45803</v>
      </c>
      <c r="C28" s="15" t="s">
        <v>22</v>
      </c>
      <c r="D28" s="16">
        <v>0.5</v>
      </c>
      <c r="E28" s="17">
        <v>449</v>
      </c>
      <c r="F28" s="12">
        <f t="shared" si="0"/>
        <v>224.5</v>
      </c>
      <c r="G28" s="13" t="s">
        <v>18</v>
      </c>
      <c r="H28" s="13" t="s">
        <v>11</v>
      </c>
      <c r="I28" s="13" t="s">
        <v>14</v>
      </c>
      <c r="J28" s="6"/>
    </row>
    <row r="29" spans="2:16" ht="15.75" thickTop="1" x14ac:dyDescent="0.25">
      <c r="B29" s="18"/>
      <c r="C29" s="19"/>
      <c r="D29" s="20"/>
      <c r="E29" s="21"/>
      <c r="F29" s="22">
        <f>SUM(F4:F28)</f>
        <v>8321.2844000000005</v>
      </c>
      <c r="G29" s="23"/>
      <c r="H29" s="24"/>
      <c r="I29" s="23"/>
      <c r="J29" s="56"/>
    </row>
    <row r="31" spans="2:16" x14ac:dyDescent="0.25">
      <c r="B31" s="114" t="s">
        <v>52</v>
      </c>
      <c r="C31" s="114"/>
      <c r="D31" s="114"/>
      <c r="E31" s="114"/>
      <c r="F31" s="114"/>
      <c r="G31" s="114"/>
      <c r="H31" s="114"/>
      <c r="I31" s="114"/>
      <c r="J31" s="34"/>
    </row>
    <row r="32" spans="2:16" ht="45" x14ac:dyDescent="0.25">
      <c r="B32" s="38" t="s">
        <v>53</v>
      </c>
      <c r="C32" s="39" t="s">
        <v>54</v>
      </c>
      <c r="D32" s="40" t="s">
        <v>55</v>
      </c>
      <c r="E32" s="39" t="s">
        <v>56</v>
      </c>
      <c r="F32" s="39" t="s">
        <v>57</v>
      </c>
      <c r="G32" s="39" t="s">
        <v>58</v>
      </c>
      <c r="H32" s="39" t="s">
        <v>59</v>
      </c>
      <c r="I32" s="39" t="s">
        <v>60</v>
      </c>
      <c r="J32" s="53"/>
    </row>
    <row r="33" spans="2:10" ht="15.75" thickBot="1" x14ac:dyDescent="0.3">
      <c r="B33" s="30">
        <v>10</v>
      </c>
      <c r="C33" s="45" t="s">
        <v>62</v>
      </c>
      <c r="D33" s="41">
        <f>(B33*$M$5)/100</f>
        <v>7</v>
      </c>
      <c r="E33" s="42">
        <f>$M$7*D33</f>
        <v>1571.5</v>
      </c>
      <c r="F33" s="43">
        <v>61391.210800000008</v>
      </c>
      <c r="G33" s="43">
        <v>136860.5</v>
      </c>
      <c r="H33" s="44">
        <f>G33</f>
        <v>136860.5</v>
      </c>
      <c r="I33" s="44">
        <f>F33-H33</f>
        <v>-75469.289199999999</v>
      </c>
      <c r="J33" s="54"/>
    </row>
    <row r="34" spans="2:10" ht="15.75" thickTop="1" x14ac:dyDescent="0.25">
      <c r="B34" s="47"/>
      <c r="C34" s="48"/>
      <c r="D34" s="49"/>
      <c r="E34" s="50">
        <f>SUBTOTAL(109,Table8[Animales Restantes])</f>
        <v>1571.5</v>
      </c>
      <c r="F34" s="51">
        <f>SUBTOTAL(109,Table8[Gasto])</f>
        <v>61391.210800000008</v>
      </c>
      <c r="G34" s="51">
        <f>SUBTOTAL(109,Table8[Ingreso])</f>
        <v>136860.5</v>
      </c>
      <c r="H34" s="51">
        <f>SUBTOTAL(109,Table8[Pago])</f>
        <v>136860.5</v>
      </c>
      <c r="I34" s="51">
        <f>SUBTOTAL(109,Table8[Restante])</f>
        <v>-75469.289199999999</v>
      </c>
      <c r="J34" s="55"/>
    </row>
    <row r="36" spans="2:10" x14ac:dyDescent="0.25">
      <c r="B36" s="114" t="s">
        <v>64</v>
      </c>
      <c r="C36" s="114"/>
      <c r="D36" s="114"/>
      <c r="E36" s="114"/>
      <c r="F36" s="114"/>
      <c r="G36" s="114"/>
      <c r="H36" s="114"/>
      <c r="I36" s="114"/>
      <c r="J36" s="114"/>
    </row>
    <row r="37" spans="2:10" ht="30" x14ac:dyDescent="0.25">
      <c r="B37" s="58" t="s">
        <v>1</v>
      </c>
      <c r="C37" s="58" t="s">
        <v>65</v>
      </c>
      <c r="D37" s="39" t="s">
        <v>66</v>
      </c>
      <c r="E37" s="59" t="s">
        <v>67</v>
      </c>
      <c r="F37" s="39" t="s">
        <v>68</v>
      </c>
      <c r="G37" s="58" t="s">
        <v>69</v>
      </c>
      <c r="H37" s="58" t="s">
        <v>59</v>
      </c>
      <c r="I37" s="58" t="s">
        <v>70</v>
      </c>
      <c r="J37" s="60" t="s">
        <v>71</v>
      </c>
    </row>
    <row r="38" spans="2:10" x14ac:dyDescent="0.25">
      <c r="B38" s="61">
        <v>45849</v>
      </c>
      <c r="C38" s="33" t="s">
        <v>72</v>
      </c>
      <c r="D38" s="62">
        <v>95</v>
      </c>
      <c r="E38" s="63">
        <v>3.6</v>
      </c>
      <c r="F38" s="44">
        <f>Table914[[#This Row],[Precio por 
Kg]]*Table914[[#This Row],[Peso del 
Organismo]]</f>
        <v>342</v>
      </c>
      <c r="G38" s="64">
        <v>0</v>
      </c>
      <c r="H38" s="65">
        <f>Table914[[#This Row],[Precio del 
Organismo]]-Table914[[#This Row],[Pendiente]]</f>
        <v>342</v>
      </c>
      <c r="I38" s="30"/>
      <c r="J38" s="30" t="s">
        <v>73</v>
      </c>
    </row>
    <row r="39" spans="2:10" x14ac:dyDescent="0.25">
      <c r="B39" s="61">
        <v>45849</v>
      </c>
      <c r="C39" s="33" t="s">
        <v>72</v>
      </c>
      <c r="D39" s="62">
        <v>95</v>
      </c>
      <c r="E39" s="63">
        <v>3</v>
      </c>
      <c r="F39" s="44">
        <f>Table914[[#This Row],[Precio por 
Kg]]*Table914[[#This Row],[Peso del 
Organismo]]</f>
        <v>285</v>
      </c>
      <c r="G39" s="64">
        <v>0</v>
      </c>
      <c r="H39" s="65">
        <f>Table914[[#This Row],[Precio del 
Organismo]]-Table914[[#This Row],[Pendiente]]</f>
        <v>285</v>
      </c>
      <c r="I39" s="30"/>
      <c r="J39" s="30" t="s">
        <v>73</v>
      </c>
    </row>
    <row r="40" spans="2:10" x14ac:dyDescent="0.25">
      <c r="B40" s="61">
        <v>45849</v>
      </c>
      <c r="C40" s="33" t="s">
        <v>72</v>
      </c>
      <c r="D40" s="62">
        <v>94.594594594594497</v>
      </c>
      <c r="E40" s="63">
        <v>3.7</v>
      </c>
      <c r="F40" s="44">
        <f>Table914[[#This Row],[Precio por 
Kg]]*Table914[[#This Row],[Peso del 
Organismo]]</f>
        <v>349.99999999999966</v>
      </c>
      <c r="G40" s="64">
        <v>0</v>
      </c>
      <c r="H40" s="65">
        <f>Table914[[#This Row],[Precio del 
Organismo]]-Table914[[#This Row],[Pendiente]]</f>
        <v>349.99999999999966</v>
      </c>
      <c r="I40" s="30"/>
      <c r="J40" s="30" t="s">
        <v>73</v>
      </c>
    </row>
    <row r="41" spans="2:10" x14ac:dyDescent="0.25">
      <c r="B41" s="61">
        <v>45849</v>
      </c>
      <c r="C41" s="33" t="s">
        <v>72</v>
      </c>
      <c r="D41" s="62">
        <v>94.594594594594497</v>
      </c>
      <c r="E41" s="63">
        <v>3.7</v>
      </c>
      <c r="F41" s="44">
        <f>Table914[[#This Row],[Precio por 
Kg]]*Table914[[#This Row],[Peso del 
Organismo]]</f>
        <v>349.99999999999966</v>
      </c>
      <c r="G41" s="64">
        <v>0</v>
      </c>
      <c r="H41" s="65">
        <f>Table914[[#This Row],[Precio del 
Organismo]]-Table914[[#This Row],[Pendiente]]</f>
        <v>349.99999999999966</v>
      </c>
      <c r="I41" s="30"/>
      <c r="J41" s="30" t="s">
        <v>73</v>
      </c>
    </row>
    <row r="42" spans="2:10" x14ac:dyDescent="0.25">
      <c r="B42" s="61">
        <v>45849</v>
      </c>
      <c r="C42" s="33" t="s">
        <v>72</v>
      </c>
      <c r="D42" s="62">
        <v>95</v>
      </c>
      <c r="E42" s="63">
        <v>3.8</v>
      </c>
      <c r="F42" s="44">
        <f>Table914[[#This Row],[Precio por 
Kg]]*Table914[[#This Row],[Peso del 
Organismo]]</f>
        <v>361</v>
      </c>
      <c r="G42" s="64">
        <v>0</v>
      </c>
      <c r="H42" s="65">
        <f>Table914[[#This Row],[Precio del 
Organismo]]-Table914[[#This Row],[Pendiente]]</f>
        <v>361</v>
      </c>
      <c r="I42" s="30"/>
      <c r="J42" s="30" t="s">
        <v>73</v>
      </c>
    </row>
    <row r="43" spans="2:10" x14ac:dyDescent="0.25">
      <c r="B43" s="61">
        <v>45849</v>
      </c>
      <c r="C43" s="33" t="s">
        <v>74</v>
      </c>
      <c r="D43" s="62">
        <v>95</v>
      </c>
      <c r="E43" s="63">
        <v>3.5</v>
      </c>
      <c r="F43" s="44">
        <f>Table914[[#This Row],[Precio por 
Kg]]*Table914[[#This Row],[Peso del 
Organismo]]</f>
        <v>332.5</v>
      </c>
      <c r="G43" s="64">
        <v>332.5</v>
      </c>
      <c r="H43" s="65">
        <f>Table914[[#This Row],[Precio del 
Organismo]]-Table914[[#This Row],[Pendiente]]</f>
        <v>0</v>
      </c>
      <c r="I43" s="30"/>
      <c r="J43" s="30"/>
    </row>
    <row r="44" spans="2:10" x14ac:dyDescent="0.25">
      <c r="B44" s="61">
        <v>45849</v>
      </c>
      <c r="C44" s="33" t="s">
        <v>74</v>
      </c>
      <c r="D44" s="62">
        <v>95</v>
      </c>
      <c r="E44" s="63">
        <v>3.5</v>
      </c>
      <c r="F44" s="44">
        <f>Table914[[#This Row],[Precio por 
Kg]]*Table914[[#This Row],[Peso del 
Organismo]]</f>
        <v>332.5</v>
      </c>
      <c r="G44" s="64">
        <v>332.5</v>
      </c>
      <c r="H44" s="65">
        <f>Table914[[#This Row],[Precio del 
Organismo]]-Table914[[#This Row],[Pendiente]]</f>
        <v>0</v>
      </c>
      <c r="I44" s="30"/>
      <c r="J44" s="30"/>
    </row>
    <row r="45" spans="2:10" x14ac:dyDescent="0.25">
      <c r="B45" s="61">
        <v>45849</v>
      </c>
      <c r="C45" s="33" t="s">
        <v>74</v>
      </c>
      <c r="D45" s="62">
        <v>95</v>
      </c>
      <c r="E45" s="63">
        <v>3.5</v>
      </c>
      <c r="F45" s="44">
        <f>Table914[[#This Row],[Precio por 
Kg]]*Table914[[#This Row],[Peso del 
Organismo]]</f>
        <v>332.5</v>
      </c>
      <c r="G45" s="64">
        <v>332.5</v>
      </c>
      <c r="H45" s="65">
        <f>Table914[[#This Row],[Precio del 
Organismo]]-Table914[[#This Row],[Pendiente]]</f>
        <v>0</v>
      </c>
      <c r="I45" s="30"/>
      <c r="J45" s="30"/>
    </row>
    <row r="46" spans="2:10" x14ac:dyDescent="0.25">
      <c r="B46" s="61">
        <v>45849</v>
      </c>
      <c r="C46" s="33" t="s">
        <v>61</v>
      </c>
      <c r="D46" s="62">
        <v>95</v>
      </c>
      <c r="E46" s="66">
        <v>4.0999999999999996</v>
      </c>
      <c r="F46" s="44">
        <f>Table914[[#This Row],[Precio por 
Kg]]*Table914[[#This Row],[Peso del 
Organismo]]</f>
        <v>389.49999999999994</v>
      </c>
      <c r="G46" s="64">
        <v>0</v>
      </c>
      <c r="H46" s="65">
        <f>Table914[[#This Row],[Precio del 
Organismo]]-Table914[[#This Row],[Pendiente]]</f>
        <v>389.49999999999994</v>
      </c>
      <c r="I46" s="30"/>
      <c r="J46" s="30" t="s">
        <v>73</v>
      </c>
    </row>
    <row r="47" spans="2:10" x14ac:dyDescent="0.25">
      <c r="B47" s="61">
        <v>45849</v>
      </c>
      <c r="C47" s="33" t="s">
        <v>61</v>
      </c>
      <c r="D47" s="62">
        <v>95</v>
      </c>
      <c r="E47" s="66">
        <v>4.3</v>
      </c>
      <c r="F47" s="44">
        <f>Table914[[#This Row],[Precio por 
Kg]]*Table914[[#This Row],[Peso del 
Organismo]]</f>
        <v>408.5</v>
      </c>
      <c r="G47" s="64">
        <v>0</v>
      </c>
      <c r="H47" s="65">
        <f>Table914[[#This Row],[Precio del 
Organismo]]-Table914[[#This Row],[Pendiente]]</f>
        <v>408.5</v>
      </c>
      <c r="I47" s="30"/>
      <c r="J47" s="30" t="s">
        <v>73</v>
      </c>
    </row>
    <row r="48" spans="2:10" x14ac:dyDescent="0.25">
      <c r="B48" s="61">
        <v>45849</v>
      </c>
      <c r="C48" s="33" t="s">
        <v>75</v>
      </c>
      <c r="D48" s="62">
        <v>95</v>
      </c>
      <c r="E48" s="63">
        <v>3.8</v>
      </c>
      <c r="F48" s="44">
        <f>Table914[[#This Row],[Precio por 
Kg]]*Table914[[#This Row],[Peso del 
Organismo]]</f>
        <v>361</v>
      </c>
      <c r="G48" s="64">
        <v>0</v>
      </c>
      <c r="H48" s="65">
        <f>Table914[[#This Row],[Precio del 
Organismo]]-Table914[[#This Row],[Pendiente]]</f>
        <v>361</v>
      </c>
      <c r="I48" s="30"/>
      <c r="J48" s="30" t="s">
        <v>73</v>
      </c>
    </row>
    <row r="49" spans="2:10" x14ac:dyDescent="0.25">
      <c r="B49" s="61">
        <v>45849</v>
      </c>
      <c r="C49" s="33" t="s">
        <v>62</v>
      </c>
      <c r="D49" s="62">
        <v>95</v>
      </c>
      <c r="E49" s="63">
        <v>3.6</v>
      </c>
      <c r="F49" s="44">
        <f>Table914[[#This Row],[Precio por 
Kg]]*Table914[[#This Row],[Peso del 
Organismo]]</f>
        <v>342</v>
      </c>
      <c r="G49" s="64">
        <v>342</v>
      </c>
      <c r="H49" s="65">
        <f>Table914[[#This Row],[Precio del 
Organismo]]-Table914[[#This Row],[Pendiente]]</f>
        <v>0</v>
      </c>
      <c r="I49" s="30"/>
      <c r="J49" s="30"/>
    </row>
    <row r="50" spans="2:10" x14ac:dyDescent="0.25">
      <c r="B50" s="61">
        <v>45849</v>
      </c>
      <c r="C50" s="33" t="s">
        <v>76</v>
      </c>
      <c r="D50" s="62">
        <v>95</v>
      </c>
      <c r="E50" s="63">
        <v>3.6</v>
      </c>
      <c r="F50" s="44">
        <f>Table914[[#This Row],[Precio por 
Kg]]*Table914[[#This Row],[Peso del 
Organismo]]</f>
        <v>342</v>
      </c>
      <c r="G50" s="64">
        <v>0</v>
      </c>
      <c r="H50" s="65">
        <f>Table914[[#This Row],[Precio del 
Organismo]]-Table914[[#This Row],[Pendiente]]</f>
        <v>342</v>
      </c>
      <c r="I50" s="30"/>
      <c r="J50" s="30" t="s">
        <v>73</v>
      </c>
    </row>
    <row r="51" spans="2:10" x14ac:dyDescent="0.25">
      <c r="B51" s="61">
        <v>45849</v>
      </c>
      <c r="C51" s="33" t="s">
        <v>76</v>
      </c>
      <c r="D51" s="62">
        <v>95</v>
      </c>
      <c r="E51" s="63">
        <v>3.6</v>
      </c>
      <c r="F51" s="44">
        <f>Table914[[#This Row],[Precio por 
Kg]]*Table914[[#This Row],[Peso del 
Organismo]]</f>
        <v>342</v>
      </c>
      <c r="G51" s="64">
        <v>0</v>
      </c>
      <c r="H51" s="65">
        <f>Table914[[#This Row],[Precio del 
Organismo]]-Table914[[#This Row],[Pendiente]]</f>
        <v>342</v>
      </c>
      <c r="I51" s="30"/>
      <c r="J51" s="30" t="s">
        <v>73</v>
      </c>
    </row>
    <row r="52" spans="2:10" x14ac:dyDescent="0.25">
      <c r="B52" s="61">
        <v>45849</v>
      </c>
      <c r="C52" s="33" t="s">
        <v>76</v>
      </c>
      <c r="D52" s="62">
        <v>95</v>
      </c>
      <c r="E52" s="63">
        <v>3.7</v>
      </c>
      <c r="F52" s="44">
        <f>Table914[[#This Row],[Precio por 
Kg]]*Table914[[#This Row],[Peso del 
Organismo]]</f>
        <v>351.5</v>
      </c>
      <c r="G52" s="64">
        <v>0</v>
      </c>
      <c r="H52" s="65">
        <f>Table914[[#This Row],[Precio del 
Organismo]]-Table914[[#This Row],[Pendiente]]</f>
        <v>351.5</v>
      </c>
      <c r="I52" s="30"/>
      <c r="J52" s="30" t="s">
        <v>73</v>
      </c>
    </row>
    <row r="53" spans="2:10" x14ac:dyDescent="0.25">
      <c r="B53" s="61">
        <v>45849</v>
      </c>
      <c r="C53" s="33" t="s">
        <v>76</v>
      </c>
      <c r="D53" s="62">
        <v>95</v>
      </c>
      <c r="E53" s="63">
        <v>3.7</v>
      </c>
      <c r="F53" s="44">
        <f>Table914[[#This Row],[Precio por 
Kg]]*Table914[[#This Row],[Peso del 
Organismo]]</f>
        <v>351.5</v>
      </c>
      <c r="G53" s="64">
        <v>0</v>
      </c>
      <c r="H53" s="65">
        <f>Table914[[#This Row],[Precio del 
Organismo]]-Table914[[#This Row],[Pendiente]]</f>
        <v>351.5</v>
      </c>
      <c r="I53" s="30"/>
      <c r="J53" s="30" t="s">
        <v>73</v>
      </c>
    </row>
    <row r="54" spans="2:10" x14ac:dyDescent="0.25">
      <c r="B54" s="61">
        <v>45849</v>
      </c>
      <c r="C54" s="33" t="s">
        <v>77</v>
      </c>
      <c r="D54" s="62">
        <v>95</v>
      </c>
      <c r="E54" s="63">
        <v>3.8</v>
      </c>
      <c r="F54" s="44">
        <f>Table914[[#This Row],[Precio por 
Kg]]*Table914[[#This Row],[Peso del 
Organismo]]</f>
        <v>361</v>
      </c>
      <c r="G54" s="64">
        <v>0</v>
      </c>
      <c r="H54" s="65">
        <f>Table914[[#This Row],[Precio del 
Organismo]]-Table914[[#This Row],[Pendiente]]</f>
        <v>361</v>
      </c>
      <c r="I54" s="30"/>
      <c r="J54" s="30"/>
    </row>
    <row r="55" spans="2:10" x14ac:dyDescent="0.25">
      <c r="B55" s="61">
        <v>45849</v>
      </c>
      <c r="C55" s="33" t="s">
        <v>77</v>
      </c>
      <c r="D55" s="62">
        <v>95</v>
      </c>
      <c r="E55" s="63">
        <v>4.0999999999999996</v>
      </c>
      <c r="F55" s="44">
        <f>Table914[[#This Row],[Precio por 
Kg]]*Table914[[#This Row],[Peso del 
Organismo]]</f>
        <v>389.49999999999994</v>
      </c>
      <c r="G55" s="64">
        <v>0</v>
      </c>
      <c r="H55" s="67">
        <f>Table914[[#This Row],[Precio del 
Organismo]]-Table914[[#This Row],[Pendiente]]</f>
        <v>389.49999999999994</v>
      </c>
      <c r="I55" s="68"/>
      <c r="J55" s="68"/>
    </row>
    <row r="56" spans="2:10" x14ac:dyDescent="0.25">
      <c r="B56" s="61">
        <v>45849</v>
      </c>
      <c r="C56" s="33" t="s">
        <v>78</v>
      </c>
      <c r="D56" s="62">
        <v>95</v>
      </c>
      <c r="E56" s="63">
        <v>3.5</v>
      </c>
      <c r="F56" s="44">
        <f>Table914[[#This Row],[Precio por 
Kg]]*Table914[[#This Row],[Peso del 
Organismo]]</f>
        <v>332.5</v>
      </c>
      <c r="G56" s="64">
        <v>0</v>
      </c>
      <c r="H56" s="67">
        <f>Table914[[#This Row],[Precio del 
Organismo]]-Table914[[#This Row],[Pendiente]]</f>
        <v>332.5</v>
      </c>
      <c r="I56" s="68"/>
      <c r="J56" s="30" t="s">
        <v>73</v>
      </c>
    </row>
    <row r="57" spans="2:10" x14ac:dyDescent="0.25">
      <c r="B57" s="69">
        <v>45853</v>
      </c>
      <c r="C57" s="33" t="s">
        <v>79</v>
      </c>
      <c r="D57" s="62">
        <v>95</v>
      </c>
      <c r="E57" s="63">
        <v>3.6</v>
      </c>
      <c r="F57" s="44">
        <f>Table914[[#This Row],[Precio por 
Kg]]*Table914[[#This Row],[Peso del 
Organismo]]</f>
        <v>342</v>
      </c>
      <c r="G57" s="44">
        <v>0</v>
      </c>
      <c r="H57" s="67">
        <f>Table914[[#This Row],[Precio del 
Organismo]]-Table914[[#This Row],[Pendiente]]</f>
        <v>342</v>
      </c>
      <c r="I57" s="68"/>
      <c r="J57" s="30" t="s">
        <v>73</v>
      </c>
    </row>
    <row r="58" spans="2:10" x14ac:dyDescent="0.25">
      <c r="B58" s="69">
        <v>45853</v>
      </c>
      <c r="C58" s="33" t="s">
        <v>79</v>
      </c>
      <c r="D58" s="62">
        <v>95</v>
      </c>
      <c r="E58" s="63">
        <v>3.6</v>
      </c>
      <c r="F58" s="44">
        <f>Table914[[#This Row],[Precio por 
Kg]]*Table914[[#This Row],[Peso del 
Organismo]]</f>
        <v>342</v>
      </c>
      <c r="G58" s="64">
        <v>0</v>
      </c>
      <c r="H58" s="67">
        <f>Table914[[#This Row],[Precio del 
Organismo]]-Table914[[#This Row],[Pendiente]]</f>
        <v>342</v>
      </c>
      <c r="I58" s="68"/>
      <c r="J58" s="30" t="s">
        <v>73</v>
      </c>
    </row>
    <row r="59" spans="2:10" x14ac:dyDescent="0.25">
      <c r="B59" s="69">
        <v>45853</v>
      </c>
      <c r="C59" s="45" t="s">
        <v>79</v>
      </c>
      <c r="D59" s="62">
        <v>95</v>
      </c>
      <c r="E59" s="63">
        <v>3.7</v>
      </c>
      <c r="F59" s="44">
        <f>Table914[[#This Row],[Precio por 
Kg]]*Table914[[#This Row],[Peso del 
Organismo]]</f>
        <v>351.5</v>
      </c>
      <c r="G59" s="64">
        <v>0</v>
      </c>
      <c r="H59" s="67">
        <f>Table914[[#This Row],[Precio del 
Organismo]]-Table914[[#This Row],[Pendiente]]</f>
        <v>351.5</v>
      </c>
      <c r="I59" s="68"/>
      <c r="J59" s="30" t="s">
        <v>73</v>
      </c>
    </row>
    <row r="60" spans="2:10" x14ac:dyDescent="0.25">
      <c r="B60" s="69">
        <v>45853</v>
      </c>
      <c r="C60" s="70" t="s">
        <v>80</v>
      </c>
      <c r="D60" s="62">
        <v>95</v>
      </c>
      <c r="E60" s="63">
        <v>3.5</v>
      </c>
      <c r="F60" s="44">
        <f>Table914[[#This Row],[Precio por 
Kg]]*Table914[[#This Row],[Peso del 
Organismo]]</f>
        <v>332.5</v>
      </c>
      <c r="G60" s="64">
        <v>332.5</v>
      </c>
      <c r="H60" s="71">
        <f>Table914[[#This Row],[Precio del 
Organismo]]-Table914[[#This Row],[Pendiente]]</f>
        <v>0</v>
      </c>
      <c r="I60" s="68"/>
      <c r="J60" s="68"/>
    </row>
    <row r="61" spans="2:10" x14ac:dyDescent="0.25">
      <c r="B61" s="69">
        <v>45853</v>
      </c>
      <c r="C61" s="33" t="s">
        <v>81</v>
      </c>
      <c r="D61" s="62">
        <v>95</v>
      </c>
      <c r="E61" s="63">
        <v>3.6</v>
      </c>
      <c r="F61" s="44">
        <f>Table914[[#This Row],[Precio por 
Kg]]*Table914[[#This Row],[Peso del 
Organismo]]</f>
        <v>342</v>
      </c>
      <c r="G61" s="72">
        <v>0</v>
      </c>
      <c r="H61" s="71">
        <f>Table914[[#This Row],[Precio del 
Organismo]]-Table914[[#This Row],[Pendiente]]</f>
        <v>342</v>
      </c>
      <c r="I61" s="68"/>
      <c r="J61" s="30" t="s">
        <v>73</v>
      </c>
    </row>
    <row r="62" spans="2:10" x14ac:dyDescent="0.25">
      <c r="B62" s="69">
        <v>45853</v>
      </c>
      <c r="C62" s="33" t="s">
        <v>61</v>
      </c>
      <c r="D62" s="62">
        <v>95</v>
      </c>
      <c r="E62" s="73">
        <v>3.8</v>
      </c>
      <c r="F62" s="46">
        <f>Table914[[#This Row],[Precio por 
Kg]]*Table914[[#This Row],[Peso del 
Organismo]]</f>
        <v>361</v>
      </c>
      <c r="G62" s="72">
        <v>361</v>
      </c>
      <c r="H62" s="71">
        <f>Table914[[#This Row],[Precio del 
Organismo]]-Table914[[#This Row],[Pendiente]]</f>
        <v>0</v>
      </c>
      <c r="I62" s="68"/>
      <c r="J62" s="68"/>
    </row>
    <row r="63" spans="2:10" x14ac:dyDescent="0.25">
      <c r="B63" s="69">
        <v>45853</v>
      </c>
      <c r="C63" s="33" t="s">
        <v>81</v>
      </c>
      <c r="D63" s="62">
        <v>95</v>
      </c>
      <c r="E63" s="63">
        <v>4.4000000000000004</v>
      </c>
      <c r="F63" s="44">
        <f>Table914[[#This Row],[Precio por 
Kg]]*Table914[[#This Row],[Peso del 
Organismo]]</f>
        <v>418.00000000000006</v>
      </c>
      <c r="G63" s="72">
        <v>0</v>
      </c>
      <c r="H63" s="71">
        <f>Table914[[#This Row],[Precio del 
Organismo]]-Table914[[#This Row],[Pendiente]]</f>
        <v>418.00000000000006</v>
      </c>
      <c r="I63" s="30"/>
      <c r="J63" s="30" t="s">
        <v>73</v>
      </c>
    </row>
    <row r="64" spans="2:10" x14ac:dyDescent="0.25">
      <c r="B64" s="69">
        <v>45853</v>
      </c>
      <c r="C64" s="33" t="s">
        <v>72</v>
      </c>
      <c r="D64" s="62">
        <v>95</v>
      </c>
      <c r="E64" s="63">
        <v>3.5</v>
      </c>
      <c r="F64" s="46">
        <f>Table914[[#This Row],[Precio por 
Kg]]*Table914[[#This Row],[Peso del 
Organismo]]</f>
        <v>332.5</v>
      </c>
      <c r="G64" s="64">
        <v>0</v>
      </c>
      <c r="H64" s="74">
        <f>Table914[[#This Row],[Precio del 
Organismo]]-Table914[[#This Row],[Pendiente]]</f>
        <v>332.5</v>
      </c>
      <c r="I64" s="68"/>
      <c r="J64" s="30" t="s">
        <v>73</v>
      </c>
    </row>
    <row r="65" spans="2:10" x14ac:dyDescent="0.25">
      <c r="B65" s="69">
        <v>45853</v>
      </c>
      <c r="C65" s="33" t="s">
        <v>72</v>
      </c>
      <c r="D65" s="62">
        <v>95</v>
      </c>
      <c r="E65" s="63">
        <v>3.5</v>
      </c>
      <c r="F65" s="46">
        <f>Table914[[#This Row],[Precio por 
Kg]]*Table914[[#This Row],[Peso del 
Organismo]]</f>
        <v>332.5</v>
      </c>
      <c r="G65" s="64">
        <v>0</v>
      </c>
      <c r="H65" s="74">
        <f>Table914[[#This Row],[Precio del 
Organismo]]-Table914[[#This Row],[Pendiente]]</f>
        <v>332.5</v>
      </c>
      <c r="I65" s="68"/>
      <c r="J65" s="30" t="s">
        <v>73</v>
      </c>
    </row>
    <row r="66" spans="2:10" x14ac:dyDescent="0.25">
      <c r="B66" s="69">
        <v>45853</v>
      </c>
      <c r="C66" s="33" t="s">
        <v>72</v>
      </c>
      <c r="D66" s="62">
        <v>95</v>
      </c>
      <c r="E66" s="63">
        <v>3.5</v>
      </c>
      <c r="F66" s="46">
        <f>Table914[[#This Row],[Precio por 
Kg]]*Table914[[#This Row],[Peso del 
Organismo]]</f>
        <v>332.5</v>
      </c>
      <c r="G66" s="64">
        <v>332.5</v>
      </c>
      <c r="H66" s="74">
        <f>Table914[[#This Row],[Precio del 
Organismo]]-Table914[[#This Row],[Pendiente]]</f>
        <v>0</v>
      </c>
      <c r="I66" s="68"/>
      <c r="J66" s="34"/>
    </row>
    <row r="67" spans="2:10" x14ac:dyDescent="0.25">
      <c r="B67" s="69">
        <v>45853</v>
      </c>
      <c r="C67" s="33" t="s">
        <v>72</v>
      </c>
      <c r="D67" s="62">
        <v>95</v>
      </c>
      <c r="E67" s="63">
        <v>3.5</v>
      </c>
      <c r="F67" s="46">
        <f>Table914[[#This Row],[Precio por 
Kg]]*Table914[[#This Row],[Peso del 
Organismo]]</f>
        <v>332.5</v>
      </c>
      <c r="G67" s="72">
        <v>332.5</v>
      </c>
      <c r="H67" s="71">
        <f>Table914[[#This Row],[Precio del 
Organismo]]-Table914[[#This Row],[Pendiente]]</f>
        <v>0</v>
      </c>
      <c r="I67" s="68"/>
      <c r="J67" s="34"/>
    </row>
    <row r="68" spans="2:10" x14ac:dyDescent="0.25">
      <c r="B68" s="69">
        <v>45853</v>
      </c>
      <c r="C68" s="33" t="s">
        <v>72</v>
      </c>
      <c r="D68" s="62">
        <v>95</v>
      </c>
      <c r="E68" s="63">
        <v>3.5</v>
      </c>
      <c r="F68" s="46">
        <f>Table914[[#This Row],[Precio por 
Kg]]*Table914[[#This Row],[Peso del 
Organismo]]</f>
        <v>332.5</v>
      </c>
      <c r="G68" s="72">
        <v>332.5</v>
      </c>
      <c r="H68" s="71">
        <f>Table914[[#This Row],[Precio del 
Organismo]]-Table914[[#This Row],[Pendiente]]</f>
        <v>0</v>
      </c>
      <c r="I68" s="68"/>
      <c r="J68" s="34"/>
    </row>
    <row r="69" spans="2:10" x14ac:dyDescent="0.25">
      <c r="B69" s="69">
        <v>45853</v>
      </c>
      <c r="C69" s="33" t="s">
        <v>82</v>
      </c>
      <c r="D69" s="75">
        <v>95</v>
      </c>
      <c r="E69" s="63">
        <v>3.5</v>
      </c>
      <c r="F69" s="46">
        <f>Table914[[#This Row],[Precio por 
Kg]]*Table914[[#This Row],[Peso del 
Organismo]]</f>
        <v>332.5</v>
      </c>
      <c r="G69" s="72">
        <v>0</v>
      </c>
      <c r="H69" s="71">
        <f>Table914[[#This Row],[Precio del 
Organismo]]-Table914[[#This Row],[Pendiente]]</f>
        <v>332.5</v>
      </c>
      <c r="I69" s="68"/>
      <c r="J69" s="30" t="s">
        <v>73</v>
      </c>
    </row>
    <row r="70" spans="2:10" x14ac:dyDescent="0.25">
      <c r="B70" s="69">
        <v>45862</v>
      </c>
      <c r="C70" s="33" t="s">
        <v>83</v>
      </c>
      <c r="D70" s="62">
        <v>95</v>
      </c>
      <c r="E70" s="63">
        <v>2.9449999999999998</v>
      </c>
      <c r="F70" s="46">
        <f>Table914[[#This Row],[Precio por 
Kg]]*Table914[[#This Row],[Peso del 
Organismo]]</f>
        <v>279.77499999999998</v>
      </c>
      <c r="G70" s="64">
        <v>279.77499999999998</v>
      </c>
      <c r="H70" s="74">
        <f>Table914[[#This Row],[Precio del 
Organismo]]-Table914[[#This Row],[Pendiente]]</f>
        <v>0</v>
      </c>
      <c r="I70" s="30" t="s">
        <v>84</v>
      </c>
      <c r="J70" s="34"/>
    </row>
    <row r="71" spans="2:10" x14ac:dyDescent="0.25">
      <c r="B71" s="69">
        <v>45862</v>
      </c>
      <c r="C71" s="33" t="s">
        <v>83</v>
      </c>
      <c r="D71" s="62">
        <v>95</v>
      </c>
      <c r="E71" s="63">
        <v>3.7149999999999999</v>
      </c>
      <c r="F71" s="46">
        <f>Table914[[#This Row],[Precio por 
Kg]]*Table914[[#This Row],[Peso del 
Organismo]]</f>
        <v>352.92500000000001</v>
      </c>
      <c r="G71" s="64">
        <v>352.92500000000001</v>
      </c>
      <c r="H71" s="74">
        <f>Table914[[#This Row],[Precio del 
Organismo]]-Table914[[#This Row],[Pendiente]]</f>
        <v>0</v>
      </c>
      <c r="I71" s="30" t="s">
        <v>84</v>
      </c>
      <c r="J71" s="34"/>
    </row>
    <row r="72" spans="2:10" x14ac:dyDescent="0.25">
      <c r="B72" s="69">
        <v>45862</v>
      </c>
      <c r="C72" s="33" t="s">
        <v>83</v>
      </c>
      <c r="D72" s="62">
        <v>95</v>
      </c>
      <c r="E72" s="63">
        <v>3</v>
      </c>
      <c r="F72" s="46">
        <f>Table914[[#This Row],[Precio por 
Kg]]*Table914[[#This Row],[Peso del 
Organismo]]</f>
        <v>285</v>
      </c>
      <c r="G72" s="64">
        <v>285</v>
      </c>
      <c r="H72" s="74">
        <f>Table914[[#This Row],[Precio del 
Organismo]]-Table914[[#This Row],[Pendiente]]</f>
        <v>0</v>
      </c>
      <c r="I72" s="30" t="s">
        <v>84</v>
      </c>
      <c r="J72" s="34"/>
    </row>
    <row r="73" spans="2:10" x14ac:dyDescent="0.25">
      <c r="B73" s="69">
        <v>45862</v>
      </c>
      <c r="C73" s="33" t="s">
        <v>83</v>
      </c>
      <c r="D73" s="62">
        <v>95</v>
      </c>
      <c r="E73" s="63">
        <v>3.63</v>
      </c>
      <c r="F73" s="46">
        <f>Table914[[#This Row],[Precio por 
Kg]]*Table914[[#This Row],[Peso del 
Organismo]]</f>
        <v>344.84999999999997</v>
      </c>
      <c r="G73" s="64">
        <v>344.84999999999997</v>
      </c>
      <c r="H73" s="74">
        <f>Table914[[#This Row],[Precio del 
Organismo]]-Table914[[#This Row],[Pendiente]]</f>
        <v>0</v>
      </c>
      <c r="I73" s="30" t="s">
        <v>84</v>
      </c>
      <c r="J73" s="34"/>
    </row>
    <row r="74" spans="2:10" x14ac:dyDescent="0.25">
      <c r="B74" s="69"/>
      <c r="C74" s="33" t="s">
        <v>85</v>
      </c>
      <c r="D74" s="75"/>
      <c r="E74" s="63"/>
      <c r="F74" s="46">
        <f>Table914[[#This Row],[Precio por 
Kg]]*Table914[[#This Row],[Peso del 
Organismo]]</f>
        <v>0</v>
      </c>
      <c r="G74" s="72">
        <v>0</v>
      </c>
      <c r="H74" s="71">
        <f>Table914[[#This Row],[Precio del 
Organismo]]-Table914[[#This Row],[Pendiente]]</f>
        <v>0</v>
      </c>
      <c r="I74" s="68"/>
      <c r="J74" s="34"/>
    </row>
    <row r="75" spans="2:10" x14ac:dyDescent="0.25">
      <c r="B75" s="76"/>
      <c r="C75" s="77"/>
      <c r="D75" s="75"/>
      <c r="E75" s="63"/>
      <c r="F75" s="46">
        <f>Table914[[#This Row],[Precio por 
Kg]]*Table914[[#This Row],[Peso del 
Organismo]]</f>
        <v>0</v>
      </c>
      <c r="G75" s="72">
        <v>0</v>
      </c>
      <c r="H75" s="71">
        <f>Table914[[#This Row],[Precio del 
Organismo]]-Table914[[#This Row],[Pendiente]]</f>
        <v>0</v>
      </c>
      <c r="I75" s="68"/>
      <c r="J75" s="34"/>
    </row>
    <row r="76" spans="2:10" ht="15.75" thickBot="1" x14ac:dyDescent="0.3">
      <c r="B76" s="69"/>
      <c r="C76" s="78"/>
      <c r="D76" s="75"/>
      <c r="E76" s="63"/>
      <c r="F76" s="46">
        <f>Table914[[#This Row],[Precio por 
Kg]]*Table914[[#This Row],[Peso del 
Organismo]]</f>
        <v>0</v>
      </c>
      <c r="G76" s="72">
        <v>0</v>
      </c>
      <c r="H76" s="71">
        <f>Table914[[#This Row],[Precio del 
Organismo]]-Table914[[#This Row],[Pendiente]]</f>
        <v>0</v>
      </c>
      <c r="I76" s="79"/>
      <c r="J76" s="52"/>
    </row>
    <row r="77" spans="2:10" ht="15.75" thickTop="1" x14ac:dyDescent="0.25">
      <c r="B77" s="80">
        <f>SUBTOTAL(103,Table914[Fecha])</f>
        <v>36</v>
      </c>
      <c r="C77" s="80"/>
      <c r="D77" s="81">
        <f>SUBTOTAL(101,Table914[Precio por 
Kg])</f>
        <v>94.977477477477478</v>
      </c>
      <c r="E77" s="82">
        <f>SUBTOTAL(109,Table914[Peso del 
Organismo])</f>
        <v>130.58999999999997</v>
      </c>
      <c r="F77" s="81">
        <f>SUBTOTAL(109,Table914[Precio del 
Organismo])</f>
        <v>12403.05</v>
      </c>
      <c r="G77" s="81">
        <f>SUBTOTAL(109,Table914[Pendiente])</f>
        <v>4293.05</v>
      </c>
      <c r="H77" s="81">
        <f>SUBTOTAL(109,Table914[Pago])</f>
        <v>8109.9999999999991</v>
      </c>
      <c r="I77" s="83"/>
      <c r="J77" s="84"/>
    </row>
  </sheetData>
  <mergeCells count="5">
    <mergeCell ref="L2:M2"/>
    <mergeCell ref="B31:I31"/>
    <mergeCell ref="B2:J2"/>
    <mergeCell ref="B36:J36"/>
    <mergeCell ref="O2:P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4D40-1331-426F-AC6D-4DC2DFE58F1D}">
  <dimension ref="B2:Q35"/>
  <sheetViews>
    <sheetView tabSelected="1" topLeftCell="C1" workbookViewId="0">
      <selection activeCell="J17" sqref="J17"/>
    </sheetView>
  </sheetViews>
  <sheetFormatPr defaultRowHeight="15" x14ac:dyDescent="0.25"/>
  <cols>
    <col min="1" max="1" width="1.7109375" customWidth="1"/>
    <col min="2" max="2" width="10.85546875" bestFit="1" customWidth="1"/>
    <col min="3" max="3" width="55.140625" bestFit="1" customWidth="1"/>
    <col min="4" max="4" width="17.28515625" bestFit="1" customWidth="1"/>
    <col min="5" max="5" width="12.7109375" bestFit="1" customWidth="1"/>
    <col min="6" max="6" width="15.28515625" bestFit="1" customWidth="1"/>
    <col min="7" max="7" width="21.5703125" bestFit="1" customWidth="1"/>
    <col min="8" max="8" width="14.28515625" bestFit="1" customWidth="1"/>
    <col min="9" max="9" width="15.7109375" bestFit="1" customWidth="1"/>
    <col min="10" max="10" width="21.85546875" bestFit="1" customWidth="1"/>
    <col min="11" max="11" width="1.7109375" customWidth="1"/>
    <col min="12" max="12" width="33.5703125" bestFit="1" customWidth="1"/>
    <col min="13" max="13" width="14.5703125" bestFit="1" customWidth="1"/>
    <col min="14" max="14" width="1.7109375" customWidth="1"/>
    <col min="15" max="15" width="10.85546875" bestFit="1" customWidth="1"/>
    <col min="16" max="16" width="17.7109375" customWidth="1"/>
    <col min="17" max="17" width="14.42578125" customWidth="1"/>
  </cols>
  <sheetData>
    <row r="2" spans="2:17" x14ac:dyDescent="0.25">
      <c r="B2" s="112" t="s">
        <v>0</v>
      </c>
      <c r="C2" s="112"/>
      <c r="D2" s="112"/>
      <c r="E2" s="112"/>
      <c r="F2" s="112"/>
      <c r="G2" s="112"/>
      <c r="H2" s="112"/>
      <c r="I2" s="112"/>
      <c r="J2" s="112"/>
      <c r="L2" s="113" t="s">
        <v>34</v>
      </c>
      <c r="M2" s="113"/>
      <c r="O2" s="112" t="s">
        <v>86</v>
      </c>
      <c r="P2" s="112"/>
      <c r="Q2" s="112"/>
    </row>
    <row r="3" spans="2:17" s="35" customFormat="1" ht="30" x14ac:dyDescent="0.25">
      <c r="B3" s="88" t="s">
        <v>1</v>
      </c>
      <c r="C3" s="89" t="s">
        <v>2</v>
      </c>
      <c r="D3" s="89" t="s">
        <v>3</v>
      </c>
      <c r="E3" s="90" t="s">
        <v>4</v>
      </c>
      <c r="F3" s="91" t="s">
        <v>5</v>
      </c>
      <c r="G3" s="91" t="s">
        <v>6</v>
      </c>
      <c r="H3" s="90" t="s">
        <v>7</v>
      </c>
      <c r="I3" s="89" t="s">
        <v>8</v>
      </c>
      <c r="J3" s="89" t="s">
        <v>63</v>
      </c>
      <c r="K3" s="92"/>
      <c r="L3" s="86" t="s">
        <v>35</v>
      </c>
      <c r="M3" s="87" t="s">
        <v>36</v>
      </c>
      <c r="N3" s="92"/>
      <c r="O3" s="92" t="s">
        <v>1</v>
      </c>
      <c r="P3" s="53" t="s">
        <v>89</v>
      </c>
      <c r="Q3" s="53" t="s">
        <v>108</v>
      </c>
    </row>
    <row r="4" spans="2:17" x14ac:dyDescent="0.25">
      <c r="B4" s="5">
        <v>45707</v>
      </c>
      <c r="C4" s="6" t="s">
        <v>92</v>
      </c>
      <c r="D4" s="7">
        <v>10.039999999999999</v>
      </c>
      <c r="E4" s="8">
        <f>_xlfn.XLOOKUP(Table576[[#This Row],[Descripcion]],Parametros!$B$3:$B$12,Parametros!$F$3:$F$12, "NO ENCONTRADO")</f>
        <v>800</v>
      </c>
      <c r="F4" s="8">
        <f t="shared" ref="F4:F6" si="0">D4*E4</f>
        <v>8031.9999999999991</v>
      </c>
      <c r="G4" s="11" t="str">
        <f>_xlfn.XLOOKUP(Table576[[#This Row],[Descripcion]],Parametros!$B$3:$B$12,Parametros!$D$3:$D$12, "NO ENCONTRADO")</f>
        <v>Rodolfo Sanchez</v>
      </c>
      <c r="H4" s="9" t="s">
        <v>106</v>
      </c>
      <c r="I4" s="9" t="s">
        <v>14</v>
      </c>
      <c r="J4" s="6"/>
      <c r="L4" s="25" t="s">
        <v>37</v>
      </c>
      <c r="M4" s="26" t="s">
        <v>90</v>
      </c>
      <c r="O4" s="69">
        <v>45684</v>
      </c>
      <c r="P4" s="35">
        <v>0.6</v>
      </c>
      <c r="Q4" s="35">
        <v>0</v>
      </c>
    </row>
    <row r="5" spans="2:17" x14ac:dyDescent="0.25">
      <c r="B5" s="5">
        <v>45735</v>
      </c>
      <c r="C5" s="6" t="s">
        <v>99</v>
      </c>
      <c r="D5" s="7">
        <v>2.5880000000000001</v>
      </c>
      <c r="E5" s="8">
        <f>_xlfn.XLOOKUP(Table576[[#This Row],[Descripcion]],Parametros!$B$3:$B$12,Parametros!$F$3:$F$12, "NO ENCONTRADO")</f>
        <v>587.5</v>
      </c>
      <c r="F5" s="10">
        <f t="shared" si="0"/>
        <v>1520.45</v>
      </c>
      <c r="G5" s="11" t="str">
        <f>_xlfn.XLOOKUP(Table576[[#This Row],[Descripcion]],Parametros!$B$3:$B$12,Parametros!$D$3:$D$12, "NO ENCONTRADO")</f>
        <v>Rodolfo Sanchez</v>
      </c>
      <c r="H5" s="9" t="s">
        <v>106</v>
      </c>
      <c r="I5" s="9" t="s">
        <v>14</v>
      </c>
      <c r="J5" s="6"/>
      <c r="L5" s="25" t="s">
        <v>38</v>
      </c>
      <c r="M5" s="93">
        <v>18500</v>
      </c>
      <c r="O5" s="69">
        <v>45735</v>
      </c>
      <c r="P5" s="35">
        <v>27</v>
      </c>
      <c r="Q5" s="34">
        <f>_xlfn.DAYS(Table49[[#This Row],[Fecha]],O4)</f>
        <v>51</v>
      </c>
    </row>
    <row r="6" spans="2:17" x14ac:dyDescent="0.25">
      <c r="B6" s="5">
        <v>45747</v>
      </c>
      <c r="C6" s="6" t="s">
        <v>99</v>
      </c>
      <c r="D6" s="7">
        <v>8.24</v>
      </c>
      <c r="E6" s="8">
        <f>_xlfn.XLOOKUP(Table576[[#This Row],[Descripcion]],Parametros!$B$3:$B$12,Parametros!$F$3:$F$12, "NO ENCONTRADO")</f>
        <v>587.5</v>
      </c>
      <c r="F6" s="10">
        <f t="shared" si="0"/>
        <v>4841</v>
      </c>
      <c r="G6" s="11" t="str">
        <f>_xlfn.XLOOKUP(Table576[[#This Row],[Descripcion]],Parametros!$B$3:$B$12,Parametros!$D$3:$D$12, "NO ENCONTRADO")</f>
        <v>Rodolfo Sanchez</v>
      </c>
      <c r="H6" s="9" t="s">
        <v>106</v>
      </c>
      <c r="I6" s="9" t="s">
        <v>14</v>
      </c>
      <c r="J6" s="6"/>
      <c r="L6" s="25" t="s">
        <v>39</v>
      </c>
      <c r="M6" s="28">
        <v>0</v>
      </c>
      <c r="O6" s="69">
        <v>45754</v>
      </c>
      <c r="P6" s="35">
        <v>63</v>
      </c>
      <c r="Q6" s="34">
        <f>_xlfn.DAYS(Table49[[#This Row],[Fecha]],O5)</f>
        <v>19</v>
      </c>
    </row>
    <row r="7" spans="2:17" x14ac:dyDescent="0.25">
      <c r="B7" s="14">
        <v>45754</v>
      </c>
      <c r="C7" s="15" t="s">
        <v>100</v>
      </c>
      <c r="D7" s="16">
        <v>6.16</v>
      </c>
      <c r="E7" s="8">
        <f>_xlfn.XLOOKUP(Table576[[#This Row],[Descripcion]],Parametros!$B$3:$B$12,Parametros!$F$3:$F$12, "NO ENCONTRADO")</f>
        <v>422.5</v>
      </c>
      <c r="F7" s="12">
        <f t="shared" ref="F7:F12" si="1">D7*E7</f>
        <v>2602.6</v>
      </c>
      <c r="G7" s="11" t="str">
        <f>_xlfn.XLOOKUP(Table576[[#This Row],[Descripcion]],Parametros!$B$3:$B$12,Parametros!$D$3:$D$12, "NO ENCONTRADO")</f>
        <v>Rodolfo Sanchez</v>
      </c>
      <c r="H7" s="9" t="s">
        <v>106</v>
      </c>
      <c r="I7" s="9" t="s">
        <v>14</v>
      </c>
      <c r="J7" s="97"/>
      <c r="L7" s="25" t="s">
        <v>40</v>
      </c>
      <c r="M7" s="28">
        <f>Table576[[#Totals],[Precio Total]]</f>
        <v>50965.05</v>
      </c>
      <c r="O7" s="69">
        <v>45778</v>
      </c>
      <c r="P7" s="35">
        <v>83</v>
      </c>
      <c r="Q7" s="34">
        <f>_xlfn.DAYS(Table49[[#This Row],[Fecha]],O6)</f>
        <v>24</v>
      </c>
    </row>
    <row r="8" spans="2:17" x14ac:dyDescent="0.25">
      <c r="B8" s="14">
        <v>45758</v>
      </c>
      <c r="C8" s="15" t="s">
        <v>100</v>
      </c>
      <c r="D8" s="7">
        <v>3.52</v>
      </c>
      <c r="E8" s="8">
        <f>_xlfn.XLOOKUP(Table576[[#This Row],[Descripcion]],Parametros!$B$3:$B$12,Parametros!$F$3:$F$12, "NO ENCONTRADO")</f>
        <v>422.5</v>
      </c>
      <c r="F8" s="10">
        <f t="shared" si="1"/>
        <v>1487.2</v>
      </c>
      <c r="G8" s="11" t="str">
        <f>_xlfn.XLOOKUP(Table576[[#This Row],[Descripcion]],Parametros!$B$3:$B$12,Parametros!$D$3:$D$12, "NO ENCONTRADO")</f>
        <v>Rodolfo Sanchez</v>
      </c>
      <c r="H8" s="9" t="s">
        <v>106</v>
      </c>
      <c r="I8" s="9" t="s">
        <v>14</v>
      </c>
      <c r="J8" s="11"/>
      <c r="L8" s="25" t="s">
        <v>41</v>
      </c>
      <c r="M8" s="28">
        <f>Table576[[#Totals],[Precio Total]]/M10</f>
        <v>33.976700000000001</v>
      </c>
      <c r="O8" s="69">
        <v>45816</v>
      </c>
      <c r="P8" s="35">
        <v>99.4</v>
      </c>
      <c r="Q8" s="34">
        <f>_xlfn.DAYS(Table49[[#This Row],[Fecha]],O7)</f>
        <v>38</v>
      </c>
    </row>
    <row r="9" spans="2:17" x14ac:dyDescent="0.25">
      <c r="B9" s="14" t="s">
        <v>107</v>
      </c>
      <c r="C9" s="15" t="s">
        <v>100</v>
      </c>
      <c r="D9" s="7">
        <v>8.68</v>
      </c>
      <c r="E9" s="8">
        <f>_xlfn.XLOOKUP(Table576[[#This Row],[Descripcion]],Parametros!$B$3:$B$12,Parametros!$F$3:$F$12, "NO ENCONTRADO")</f>
        <v>422.5</v>
      </c>
      <c r="F9" s="10">
        <f t="shared" si="1"/>
        <v>3667.2999999999997</v>
      </c>
      <c r="G9" s="11" t="str">
        <f>_xlfn.XLOOKUP(Table576[[#This Row],[Descripcion]],Parametros!$B$3:$B$12,Parametros!$D$3:$D$12, "NO ENCONTRADO")</f>
        <v>Rodolfo Sanchez</v>
      </c>
      <c r="H9" s="9" t="s">
        <v>106</v>
      </c>
      <c r="I9" s="9" t="s">
        <v>14</v>
      </c>
      <c r="J9" s="11"/>
      <c r="L9" s="25" t="s">
        <v>42</v>
      </c>
      <c r="M9" s="93">
        <v>17000</v>
      </c>
      <c r="O9" s="69">
        <v>45857</v>
      </c>
      <c r="P9" s="35">
        <v>182.4</v>
      </c>
      <c r="Q9" s="34">
        <f>_xlfn.DAYS(Table49[[#This Row],[Fecha]],O8)</f>
        <v>41</v>
      </c>
    </row>
    <row r="10" spans="2:17" x14ac:dyDescent="0.25">
      <c r="B10" s="14">
        <v>45808</v>
      </c>
      <c r="C10" s="15" t="s">
        <v>100</v>
      </c>
      <c r="D10" s="7">
        <v>6.24</v>
      </c>
      <c r="E10" s="8">
        <f>_xlfn.XLOOKUP(Table576[[#This Row],[Descripcion]],Parametros!$B$3:$B$12,Parametros!$F$3:$F$12, "NO ENCONTRADO")</f>
        <v>422.5</v>
      </c>
      <c r="F10" s="10">
        <f t="shared" si="1"/>
        <v>2636.4</v>
      </c>
      <c r="G10" s="11" t="str">
        <f>_xlfn.XLOOKUP(Table576[[#This Row],[Descripcion]],Parametros!$B$3:$B$12,Parametros!$D$3:$D$12, "NO ENCONTRADO")</f>
        <v>Rodolfo Sanchez</v>
      </c>
      <c r="H10" s="9" t="s">
        <v>106</v>
      </c>
      <c r="I10" s="9" t="s">
        <v>14</v>
      </c>
      <c r="J10" s="11"/>
      <c r="L10" s="25" t="s">
        <v>43</v>
      </c>
      <c r="M10" s="93">
        <f>M5-M9</f>
        <v>1500</v>
      </c>
      <c r="O10" s="69">
        <v>45874</v>
      </c>
      <c r="P10" s="35">
        <v>237</v>
      </c>
      <c r="Q10" s="34">
        <f>_xlfn.DAYS(Table49[[#This Row],[Fecha]],O9)</f>
        <v>17</v>
      </c>
    </row>
    <row r="11" spans="2:17" x14ac:dyDescent="0.25">
      <c r="B11" s="5" t="s">
        <v>109</v>
      </c>
      <c r="C11" s="15" t="s">
        <v>100</v>
      </c>
      <c r="D11" s="7">
        <v>8.4</v>
      </c>
      <c r="E11" s="8">
        <f>_xlfn.XLOOKUP(Table576[[#This Row],[Descripcion]],Parametros!$B$3:$B$12,Parametros!$F$3:$F$12, "NO ENCONTRADO")</f>
        <v>422.5</v>
      </c>
      <c r="F11" s="10">
        <f t="shared" si="1"/>
        <v>3549</v>
      </c>
      <c r="G11" s="11" t="str">
        <f>_xlfn.XLOOKUP(Table576[[#This Row],[Descripcion]],Parametros!$B$3:$B$12,Parametros!$D$3:$D$12, "NO ENCONTRADO")</f>
        <v>Rodolfo Sanchez</v>
      </c>
      <c r="H11" s="9" t="s">
        <v>106</v>
      </c>
      <c r="I11" s="9" t="s">
        <v>14</v>
      </c>
      <c r="J11" s="11"/>
      <c r="L11" s="25" t="s">
        <v>44</v>
      </c>
      <c r="M11" s="29">
        <f>100/M5</f>
        <v>5.4054054054054057E-3</v>
      </c>
      <c r="O11" s="69">
        <v>45882</v>
      </c>
      <c r="P11" s="35">
        <v>282</v>
      </c>
      <c r="Q11" s="34">
        <f>_xlfn.DAYS(Table49[[#This Row],[Fecha]],O10)</f>
        <v>8</v>
      </c>
    </row>
    <row r="12" spans="2:17" x14ac:dyDescent="0.25">
      <c r="B12" s="5">
        <v>45862</v>
      </c>
      <c r="C12" s="15" t="s">
        <v>100</v>
      </c>
      <c r="D12" s="7">
        <v>7.56</v>
      </c>
      <c r="E12" s="8">
        <f>_xlfn.XLOOKUP(Table576[[#This Row],[Descripcion]],Parametros!$B$3:$B$12,Parametros!$F$3:$F$12, "NO ENCONTRADO")</f>
        <v>422.5</v>
      </c>
      <c r="F12" s="10">
        <f t="shared" si="1"/>
        <v>3194.1</v>
      </c>
      <c r="G12" s="11" t="str">
        <f>_xlfn.XLOOKUP(Table576[[#This Row],[Descripcion]],Parametros!$B$3:$B$12,Parametros!$D$3:$D$12, "NO ENCONTRADO")</f>
        <v>Rodolfo Sanchez</v>
      </c>
      <c r="H12" s="9" t="s">
        <v>106</v>
      </c>
      <c r="I12" s="9" t="s">
        <v>14</v>
      </c>
      <c r="J12" s="11"/>
      <c r="L12" s="25" t="s">
        <v>121</v>
      </c>
      <c r="M12" s="30">
        <f>Table9148[[#Totals],[Fecha]]</f>
        <v>9</v>
      </c>
      <c r="O12" s="69">
        <v>45895</v>
      </c>
      <c r="P12" s="35">
        <v>330</v>
      </c>
      <c r="Q12" s="34">
        <f>_xlfn.DAYS(Table49[[#This Row],[Fecha]],O11)</f>
        <v>13</v>
      </c>
    </row>
    <row r="13" spans="2:17" x14ac:dyDescent="0.25">
      <c r="B13" s="14">
        <v>45877</v>
      </c>
      <c r="C13" s="15" t="s">
        <v>100</v>
      </c>
      <c r="D13" s="16">
        <v>5</v>
      </c>
      <c r="E13" s="17">
        <f>_xlfn.XLOOKUP(Table576[[#This Row],[Descripcion]],Parametros!$B$3:$B$12,Parametros!$F$3:$F$12, "NO ENCONTRADO")</f>
        <v>422.5</v>
      </c>
      <c r="F13" s="12">
        <f>D13*E13</f>
        <v>2112.5</v>
      </c>
      <c r="G13" s="13" t="str">
        <f>_xlfn.XLOOKUP(Table576[[#This Row],[Descripcion]],Parametros!$B$3:$B$12,Parametros!$D$3:$D$12, "NO ENCONTRADO")</f>
        <v>Rodolfo Sanchez</v>
      </c>
      <c r="H13" s="9" t="s">
        <v>106</v>
      </c>
      <c r="I13" s="9" t="s">
        <v>14</v>
      </c>
      <c r="J13" s="97"/>
      <c r="L13" s="25" t="s">
        <v>46</v>
      </c>
      <c r="M13" s="94">
        <f>M10-((M15/P16)*1000)</f>
        <v>412.66666666666674</v>
      </c>
      <c r="O13" s="69">
        <v>45919</v>
      </c>
      <c r="P13" s="35">
        <v>400</v>
      </c>
      <c r="Q13" s="34">
        <f>_xlfn.DAYS(Table49[[#This Row],[Fecha]],O12)</f>
        <v>24</v>
      </c>
    </row>
    <row r="14" spans="2:17" x14ac:dyDescent="0.25">
      <c r="B14" s="14">
        <v>45907</v>
      </c>
      <c r="C14" s="15" t="s">
        <v>101</v>
      </c>
      <c r="D14" s="16">
        <v>15</v>
      </c>
      <c r="E14" s="17">
        <f>_xlfn.XLOOKUP(Table576[[#This Row],[Descripcion]],Parametros!$B$3:$B$12,Parametros!$F$3:$F$12, "NO ENCONTRADO")</f>
        <v>422.5</v>
      </c>
      <c r="F14" s="12">
        <f>D14*E14</f>
        <v>6337.5</v>
      </c>
      <c r="G14" s="13" t="str">
        <f>_xlfn.XLOOKUP(Table576[[#This Row],[Descripcion]],Parametros!$B$3:$B$12,Parametros!$D$3:$D$12, "NO ENCONTRADO")</f>
        <v>Rodolfo Sanchez</v>
      </c>
      <c r="H14" s="9" t="s">
        <v>106</v>
      </c>
      <c r="I14" s="9" t="s">
        <v>14</v>
      </c>
      <c r="J14" s="97"/>
      <c r="L14" s="25" t="s">
        <v>128</v>
      </c>
      <c r="M14" s="94">
        <f>(M13*P16)/1000</f>
        <v>241.41000000000005</v>
      </c>
      <c r="O14" s="69">
        <v>45934</v>
      </c>
      <c r="P14" s="35">
        <v>436</v>
      </c>
      <c r="Q14" s="34">
        <f>_xlfn.DAYS(Table49[[#This Row],[Fecha]],O13)</f>
        <v>15</v>
      </c>
    </row>
    <row r="15" spans="2:17" x14ac:dyDescent="0.25">
      <c r="B15" s="14">
        <v>45926</v>
      </c>
      <c r="C15" s="15" t="s">
        <v>101</v>
      </c>
      <c r="D15" s="16">
        <v>10</v>
      </c>
      <c r="E15" s="17">
        <f>_xlfn.XLOOKUP(Table576[[#This Row],[Descripcion]],Parametros!$B$3:$B$12,Parametros!$F$3:$F$12, "NO ENCONTRADO")</f>
        <v>422.5</v>
      </c>
      <c r="F15" s="12">
        <f>D15*E15</f>
        <v>4225</v>
      </c>
      <c r="G15" s="13" t="str">
        <f>_xlfn.XLOOKUP(Table576[[#This Row],[Descripcion]],Parametros!$B$3:$B$12,Parametros!$D$3:$D$12, "NO ENCONTRADO")</f>
        <v>Rodolfo Sanchez</v>
      </c>
      <c r="H15" s="9" t="s">
        <v>106</v>
      </c>
      <c r="I15" s="9" t="s">
        <v>14</v>
      </c>
      <c r="J15" s="97"/>
      <c r="L15" s="25" t="s">
        <v>47</v>
      </c>
      <c r="M15" s="32">
        <f>Table9148[[#Totals],[Peso del 
Organismo]]</f>
        <v>636.08999999999992</v>
      </c>
      <c r="O15" s="69">
        <v>45946</v>
      </c>
      <c r="P15" s="35">
        <v>470</v>
      </c>
      <c r="Q15" s="34">
        <f>_xlfn.DAYS(Table49[[#This Row],[Fecha]],O14)</f>
        <v>12</v>
      </c>
    </row>
    <row r="16" spans="2:17" x14ac:dyDescent="0.25">
      <c r="B16" s="5">
        <v>45964</v>
      </c>
      <c r="C16" s="15" t="s">
        <v>100</v>
      </c>
      <c r="D16" s="7">
        <v>10</v>
      </c>
      <c r="E16" s="8">
        <f>_xlfn.XLOOKUP(Table576[[#This Row],[Descripcion]],Parametros!$B$3:$B$12,Parametros!$F$3:$F$12, "NO ENCONTRADO")</f>
        <v>422.5</v>
      </c>
      <c r="F16" s="10">
        <f>D16*E16</f>
        <v>4225</v>
      </c>
      <c r="G16" s="13" t="str">
        <f>_xlfn.XLOOKUP(Table576[[#This Row],[Descripcion]],Parametros!$B$3:$B$12,Parametros!$D$3:$D$12, "NO ENCONTRADO")</f>
        <v>Rodolfo Sanchez</v>
      </c>
      <c r="H16" s="9" t="s">
        <v>106</v>
      </c>
      <c r="I16" s="9" t="s">
        <v>14</v>
      </c>
      <c r="J16" s="11"/>
      <c r="L16" s="25" t="s">
        <v>48</v>
      </c>
      <c r="M16" s="32">
        <f>M15/M12</f>
        <v>70.676666666666662</v>
      </c>
      <c r="O16" s="69">
        <v>45993</v>
      </c>
      <c r="P16" s="35">
        <v>585</v>
      </c>
      <c r="Q16" s="34">
        <f>_xlfn.DAYS(Table49[[#This Row],[Fecha]],O15)</f>
        <v>47</v>
      </c>
    </row>
    <row r="17" spans="2:13" ht="15.75" thickBot="1" x14ac:dyDescent="0.3">
      <c r="B17" s="5">
        <v>45993</v>
      </c>
      <c r="C17" s="15" t="s">
        <v>101</v>
      </c>
      <c r="D17" s="7">
        <v>6</v>
      </c>
      <c r="E17" s="8">
        <f>_xlfn.XLOOKUP(Table576[[#This Row],[Descripcion]],Parametros!$B$3:$B$12,Parametros!$F$3:$F$12, "NO ENCONTRADO")</f>
        <v>422.5</v>
      </c>
      <c r="F17" s="10">
        <f>D17*E17</f>
        <v>2535</v>
      </c>
      <c r="G17" s="13" t="str">
        <f>_xlfn.XLOOKUP(Table576[[#This Row],[Descripcion]],Parametros!$B$3:$B$12,Parametros!$D$3:$D$12, "NO ENCONTRADO")</f>
        <v>Rodolfo Sanchez</v>
      </c>
      <c r="H17" s="9" t="s">
        <v>106</v>
      </c>
      <c r="I17" s="9" t="s">
        <v>14</v>
      </c>
      <c r="J17" s="11"/>
      <c r="L17" s="25" t="s">
        <v>122</v>
      </c>
      <c r="M17" s="26" t="s">
        <v>152</v>
      </c>
    </row>
    <row r="18" spans="2:13" ht="15.75" thickTop="1" x14ac:dyDescent="0.25">
      <c r="B18" s="18"/>
      <c r="C18" s="19"/>
      <c r="D18" s="20"/>
      <c r="E18" s="21"/>
      <c r="F18" s="22">
        <f>SUM(F4:F17)</f>
        <v>50965.05</v>
      </c>
      <c r="G18" s="23"/>
      <c r="H18" s="24"/>
      <c r="I18" s="23"/>
      <c r="J18" s="56"/>
      <c r="L18" s="33" t="s">
        <v>51</v>
      </c>
      <c r="M18" s="30">
        <f>M17-M4</f>
        <v>346</v>
      </c>
    </row>
    <row r="19" spans="2:13" x14ac:dyDescent="0.25">
      <c r="B19" s="114" t="s">
        <v>52</v>
      </c>
      <c r="C19" s="114"/>
      <c r="D19" s="114"/>
      <c r="E19" s="114"/>
      <c r="F19" s="114"/>
      <c r="G19" s="114"/>
      <c r="H19" s="114"/>
      <c r="I19" s="114"/>
      <c r="J19" s="34"/>
    </row>
    <row r="20" spans="2:13" ht="30" x14ac:dyDescent="0.25">
      <c r="B20" s="38" t="s">
        <v>53</v>
      </c>
      <c r="C20" s="39" t="s">
        <v>54</v>
      </c>
      <c r="D20" s="40" t="s">
        <v>55</v>
      </c>
      <c r="E20" s="39" t="s">
        <v>56</v>
      </c>
      <c r="F20" s="39" t="s">
        <v>57</v>
      </c>
      <c r="G20" s="39" t="s">
        <v>58</v>
      </c>
      <c r="H20" s="39" t="s">
        <v>59</v>
      </c>
      <c r="I20" s="39" t="s">
        <v>60</v>
      </c>
      <c r="J20" s="53"/>
    </row>
    <row r="21" spans="2:13" ht="15.75" thickBot="1" x14ac:dyDescent="0.3">
      <c r="B21" s="94">
        <f>M5</f>
        <v>18500</v>
      </c>
      <c r="C21" s="45" t="s">
        <v>91</v>
      </c>
      <c r="D21" s="41">
        <f>(B21*$M$11)/100</f>
        <v>1</v>
      </c>
      <c r="E21" s="95">
        <f>$M$10*D21</f>
        <v>1500</v>
      </c>
      <c r="F21" s="43">
        <f>Table576[[#Totals],[Precio Total]]</f>
        <v>50965.05</v>
      </c>
      <c r="G21" s="43">
        <f>(Table9148[[#Totals],[Pago]]/$M$10)*E21</f>
        <v>45110.3</v>
      </c>
      <c r="H21" s="44">
        <f>G21</f>
        <v>45110.3</v>
      </c>
      <c r="I21" s="44">
        <f>F21-H21</f>
        <v>5854.75</v>
      </c>
      <c r="J21" s="54"/>
    </row>
    <row r="22" spans="2:13" ht="15.75" thickTop="1" x14ac:dyDescent="0.25">
      <c r="B22" s="47"/>
      <c r="C22" s="48"/>
      <c r="D22" s="49"/>
      <c r="E22" s="98">
        <f>SUBTOTAL(109,Table87[Animales Restantes])</f>
        <v>1500</v>
      </c>
      <c r="F22" s="51">
        <f>SUBTOTAL(109,Table87[Gasto])</f>
        <v>50965.05</v>
      </c>
      <c r="G22" s="51">
        <f>SUBTOTAL(109,Table87[Ingreso])</f>
        <v>45110.3</v>
      </c>
      <c r="H22" s="51">
        <f>SUBTOTAL(109,Table87[Pago])</f>
        <v>45110.3</v>
      </c>
      <c r="I22" s="51">
        <f>SUBTOTAL(109,Table87[Restante])</f>
        <v>5854.75</v>
      </c>
      <c r="J22" s="55"/>
    </row>
    <row r="24" spans="2:13" x14ac:dyDescent="0.25">
      <c r="B24" s="114" t="s">
        <v>64</v>
      </c>
      <c r="C24" s="114"/>
      <c r="D24" s="114"/>
      <c r="E24" s="114"/>
      <c r="F24" s="114"/>
      <c r="G24" s="114"/>
      <c r="H24" s="114"/>
      <c r="I24" s="114"/>
      <c r="J24" s="114"/>
    </row>
    <row r="25" spans="2:13" ht="30" x14ac:dyDescent="0.25">
      <c r="B25" s="58" t="s">
        <v>1</v>
      </c>
      <c r="C25" s="58" t="s">
        <v>65</v>
      </c>
      <c r="D25" s="39" t="s">
        <v>66</v>
      </c>
      <c r="E25" s="59" t="s">
        <v>67</v>
      </c>
      <c r="F25" s="39" t="s">
        <v>68</v>
      </c>
      <c r="G25" s="58" t="s">
        <v>69</v>
      </c>
      <c r="H25" s="58" t="s">
        <v>59</v>
      </c>
      <c r="I25" s="58" t="s">
        <v>70</v>
      </c>
      <c r="J25" s="60" t="s">
        <v>71</v>
      </c>
    </row>
    <row r="26" spans="2:13" x14ac:dyDescent="0.25">
      <c r="B26" s="61">
        <v>45881</v>
      </c>
      <c r="C26" s="33" t="s">
        <v>143</v>
      </c>
      <c r="D26" s="62">
        <v>125</v>
      </c>
      <c r="E26" s="63">
        <v>6.2</v>
      </c>
      <c r="F26" s="44">
        <f>Table9148[[#This Row],[Precio por 
Kg]]*Table9148[[#This Row],[Peso del 
Organismo]]</f>
        <v>775</v>
      </c>
      <c r="G26" s="64">
        <v>0</v>
      </c>
      <c r="H26" s="65">
        <f>Table9148[[#This Row],[Precio del 
Organismo]]-Table9148[[#This Row],[Pendiente]]</f>
        <v>775</v>
      </c>
      <c r="I26" s="30"/>
      <c r="J26" s="30" t="s">
        <v>119</v>
      </c>
    </row>
    <row r="27" spans="2:13" x14ac:dyDescent="0.25">
      <c r="B27" s="69">
        <v>45934</v>
      </c>
      <c r="C27" s="33" t="s">
        <v>144</v>
      </c>
      <c r="D27" s="75">
        <v>70</v>
      </c>
      <c r="E27" s="63">
        <v>4.7949999999999999</v>
      </c>
      <c r="F27" s="46">
        <f>Table9148[[#This Row],[Precio por 
Kg]]*Table9148[[#This Row],[Peso del 
Organismo]]</f>
        <v>335.65</v>
      </c>
      <c r="G27" s="72">
        <v>0</v>
      </c>
      <c r="H27" s="71">
        <f>Table9148[[#This Row],[Precio del 
Organismo]]-Table9148[[#This Row],[Pendiente]]</f>
        <v>335.65</v>
      </c>
      <c r="I27" s="68"/>
      <c r="J27" s="34" t="s">
        <v>73</v>
      </c>
    </row>
    <row r="28" spans="2:13" x14ac:dyDescent="0.25">
      <c r="B28" s="76">
        <v>45934</v>
      </c>
      <c r="C28" s="77" t="s">
        <v>145</v>
      </c>
      <c r="D28" s="75">
        <v>70</v>
      </c>
      <c r="E28" s="63">
        <v>13.795</v>
      </c>
      <c r="F28" s="46">
        <f>Table9148[[#This Row],[Precio por 
Kg]]*Table9148[[#This Row],[Peso del 
Organismo]]</f>
        <v>965.65</v>
      </c>
      <c r="G28" s="72">
        <v>0</v>
      </c>
      <c r="H28" s="71">
        <f>Table9148[[#This Row],[Precio del 
Organismo]]-Table9148[[#This Row],[Pendiente]]</f>
        <v>965.65</v>
      </c>
      <c r="I28" s="68"/>
      <c r="J28" s="34" t="s">
        <v>142</v>
      </c>
    </row>
    <row r="29" spans="2:13" x14ac:dyDescent="0.25">
      <c r="B29" s="69">
        <v>45974</v>
      </c>
      <c r="C29" s="77" t="s">
        <v>146</v>
      </c>
      <c r="D29" s="75">
        <v>0</v>
      </c>
      <c r="E29" s="63">
        <v>4</v>
      </c>
      <c r="F29" s="46">
        <f>Table9148[[#This Row],[Precio por 
Kg]]*Table9148[[#This Row],[Peso del 
Organismo]]</f>
        <v>0</v>
      </c>
      <c r="G29" s="72">
        <v>0</v>
      </c>
      <c r="H29" s="71">
        <v>0</v>
      </c>
      <c r="I29" s="79"/>
      <c r="J29" s="111" t="s">
        <v>147</v>
      </c>
    </row>
    <row r="30" spans="2:13" x14ac:dyDescent="0.25">
      <c r="B30" s="69">
        <v>45664</v>
      </c>
      <c r="C30" s="77" t="s">
        <v>148</v>
      </c>
      <c r="D30" s="75">
        <v>70</v>
      </c>
      <c r="E30" s="110">
        <v>282.14999999999998</v>
      </c>
      <c r="F30" s="54">
        <f>Table9148[[#This Row],[Precio por 
Kg]]*Table9148[[#This Row],[Peso del 
Organismo]]</f>
        <v>19750.5</v>
      </c>
      <c r="G30" s="72"/>
      <c r="H30" s="74">
        <f>Table9148[[#This Row],[Precio del 
Organismo]]-Table9148[[#This Row],[Pendiente]]</f>
        <v>19750.5</v>
      </c>
      <c r="I30" s="68"/>
      <c r="J30" s="34" t="s">
        <v>73</v>
      </c>
    </row>
    <row r="31" spans="2:13" x14ac:dyDescent="0.25">
      <c r="B31" s="69">
        <v>45664</v>
      </c>
      <c r="C31" s="77" t="s">
        <v>149</v>
      </c>
      <c r="D31" s="75">
        <v>91.743119266055004</v>
      </c>
      <c r="E31" s="110">
        <v>10.9</v>
      </c>
      <c r="F31" s="54">
        <f>Table9148[[#This Row],[Precio por 
Kg]]*Table9148[[#This Row],[Peso del 
Organismo]]</f>
        <v>999.99999999999955</v>
      </c>
      <c r="G31" s="72"/>
      <c r="H31" s="74">
        <f>Table9148[[#This Row],[Precio del 
Organismo]]-Table9148[[#This Row],[Pendiente]]</f>
        <v>999.99999999999955</v>
      </c>
      <c r="I31" s="68"/>
      <c r="J31" s="34" t="s">
        <v>151</v>
      </c>
    </row>
    <row r="32" spans="2:13" x14ac:dyDescent="0.25">
      <c r="B32" s="69">
        <v>45664</v>
      </c>
      <c r="C32" s="77" t="s">
        <v>150</v>
      </c>
      <c r="D32" s="75">
        <v>90</v>
      </c>
      <c r="E32" s="110">
        <v>5</v>
      </c>
      <c r="F32" s="54">
        <f>Table9148[[#This Row],[Precio por 
Kg]]*Table9148[[#This Row],[Peso del 
Organismo]]</f>
        <v>450</v>
      </c>
      <c r="G32" s="72"/>
      <c r="H32" s="74">
        <f>Table9148[[#This Row],[Precio del 
Organismo]]-Table9148[[#This Row],[Pendiente]]</f>
        <v>450</v>
      </c>
      <c r="I32" s="68"/>
      <c r="J32" s="34" t="s">
        <v>151</v>
      </c>
    </row>
    <row r="33" spans="2:10" x14ac:dyDescent="0.25">
      <c r="B33" s="69">
        <v>45664</v>
      </c>
      <c r="C33" s="77" t="s">
        <v>150</v>
      </c>
      <c r="D33" s="75">
        <v>90.2173913043478</v>
      </c>
      <c r="E33" s="110">
        <v>9.1999999999999993</v>
      </c>
      <c r="F33" s="54">
        <f>Table9148[[#This Row],[Precio por 
Kg]]*Table9148[[#This Row],[Peso del 
Organismo]]</f>
        <v>829.99999999999966</v>
      </c>
      <c r="G33" s="72"/>
      <c r="H33" s="74">
        <f>Table9148[[#This Row],[Precio del 
Organismo]]-Table9148[[#This Row],[Pendiente]]</f>
        <v>829.99999999999966</v>
      </c>
      <c r="I33" s="68"/>
      <c r="J33" s="34" t="s">
        <v>151</v>
      </c>
    </row>
    <row r="34" spans="2:10" ht="15.75" thickBot="1" x14ac:dyDescent="0.3">
      <c r="B34" s="69">
        <v>45666</v>
      </c>
      <c r="C34" s="77" t="s">
        <v>148</v>
      </c>
      <c r="D34" s="75">
        <v>70</v>
      </c>
      <c r="E34" s="110">
        <v>300.05</v>
      </c>
      <c r="F34" s="54">
        <f>Table9148[[#This Row],[Precio por 
Kg]]*Table9148[[#This Row],[Peso del 
Organismo]]</f>
        <v>21003.5</v>
      </c>
      <c r="G34" s="72"/>
      <c r="H34" s="74">
        <f>Table9148[[#This Row],[Precio del 
Organismo]]-Table9148[[#This Row],[Pendiente]]</f>
        <v>21003.5</v>
      </c>
      <c r="I34" s="68"/>
      <c r="J34" s="34"/>
    </row>
    <row r="35" spans="2:10" ht="15.75" thickTop="1" x14ac:dyDescent="0.25">
      <c r="B35" s="80">
        <f>SUBTOTAL(103,Table9148[Fecha])</f>
        <v>9</v>
      </c>
      <c r="C35" s="80"/>
      <c r="D35" s="81">
        <f>SUBTOTAL(101,Table9148[Precio por 
Kg])</f>
        <v>75.217834507822531</v>
      </c>
      <c r="E35" s="82">
        <f>SUBTOTAL(109,Table9148[Peso del 
Organismo])</f>
        <v>636.08999999999992</v>
      </c>
      <c r="F35" s="81">
        <f>SUBTOTAL(109,Table9148[Precio del 
Organismo])</f>
        <v>45110.3</v>
      </c>
      <c r="G35" s="81">
        <f>SUBTOTAL(109,Table9148[Pendiente])</f>
        <v>0</v>
      </c>
      <c r="H35" s="81">
        <f>SUBTOTAL(109,Table9148[Pago])</f>
        <v>45110.3</v>
      </c>
      <c r="I35" s="83"/>
      <c r="J35" s="84"/>
    </row>
  </sheetData>
  <mergeCells count="5">
    <mergeCell ref="B2:J2"/>
    <mergeCell ref="L2:M2"/>
    <mergeCell ref="B19:I19"/>
    <mergeCell ref="B24:J24"/>
    <mergeCell ref="O2:Q2"/>
  </mergeCells>
  <pageMargins left="0.7" right="0.7" top="0.75" bottom="0.75" header="0.3" footer="0.3"/>
  <ignoredErrors>
    <ignoredError sqref="H29" calculatedColumn="1"/>
  </ignoredErrors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7334-421C-4A67-80BD-18B0D702318C}">
  <dimension ref="B2:Q22"/>
  <sheetViews>
    <sheetView workbookViewId="0">
      <selection activeCell="F28" sqref="F28"/>
    </sheetView>
  </sheetViews>
  <sheetFormatPr defaultRowHeight="15" x14ac:dyDescent="0.25"/>
  <cols>
    <col min="1" max="1" width="1.7109375" customWidth="1"/>
    <col min="2" max="2" width="10.85546875" bestFit="1" customWidth="1"/>
    <col min="3" max="3" width="55.140625" bestFit="1" customWidth="1"/>
    <col min="4" max="4" width="17.28515625" bestFit="1" customWidth="1"/>
    <col min="5" max="5" width="12.7109375" bestFit="1" customWidth="1"/>
    <col min="6" max="6" width="15.28515625" bestFit="1" customWidth="1"/>
    <col min="7" max="7" width="21.5703125" bestFit="1" customWidth="1"/>
    <col min="8" max="8" width="24" bestFit="1" customWidth="1"/>
    <col min="9" max="9" width="15.7109375" bestFit="1" customWidth="1"/>
    <col min="10" max="10" width="15.7109375" customWidth="1"/>
    <col min="11" max="11" width="1.7109375" customWidth="1"/>
    <col min="12" max="12" width="33.5703125" bestFit="1" customWidth="1"/>
    <col min="13" max="13" width="14.5703125" bestFit="1" customWidth="1"/>
    <col min="14" max="14" width="1.7109375" customWidth="1"/>
    <col min="15" max="15" width="10.85546875" bestFit="1" customWidth="1"/>
    <col min="16" max="16" width="17.7109375" customWidth="1"/>
    <col min="17" max="17" width="14.42578125" customWidth="1"/>
  </cols>
  <sheetData>
    <row r="2" spans="2:17" x14ac:dyDescent="0.25">
      <c r="B2" s="112" t="s">
        <v>0</v>
      </c>
      <c r="C2" s="112"/>
      <c r="D2" s="112"/>
      <c r="E2" s="112"/>
      <c r="F2" s="112"/>
      <c r="G2" s="112"/>
      <c r="H2" s="112"/>
      <c r="I2" s="112"/>
      <c r="J2" s="112"/>
      <c r="L2" s="113" t="s">
        <v>34</v>
      </c>
      <c r="M2" s="113"/>
      <c r="O2" s="112" t="s">
        <v>86</v>
      </c>
      <c r="P2" s="112"/>
      <c r="Q2" s="112"/>
    </row>
    <row r="3" spans="2:17" s="35" customFormat="1" ht="30" x14ac:dyDescent="0.25">
      <c r="B3" s="88" t="s">
        <v>1</v>
      </c>
      <c r="C3" s="89" t="s">
        <v>2</v>
      </c>
      <c r="D3" s="89" t="s">
        <v>3</v>
      </c>
      <c r="E3" s="90" t="s">
        <v>4</v>
      </c>
      <c r="F3" s="91" t="s">
        <v>5</v>
      </c>
      <c r="G3" s="91" t="s">
        <v>6</v>
      </c>
      <c r="H3" s="90" t="s">
        <v>7</v>
      </c>
      <c r="I3" s="89" t="s">
        <v>8</v>
      </c>
      <c r="J3" s="89" t="s">
        <v>63</v>
      </c>
      <c r="K3" s="92"/>
      <c r="L3" s="86" t="s">
        <v>35</v>
      </c>
      <c r="M3" s="87" t="s">
        <v>127</v>
      </c>
      <c r="N3" s="92"/>
      <c r="O3" s="92" t="s">
        <v>1</v>
      </c>
      <c r="P3" s="53" t="s">
        <v>89</v>
      </c>
      <c r="Q3" s="53" t="s">
        <v>108</v>
      </c>
    </row>
    <row r="4" spans="2:17" hidden="1" x14ac:dyDescent="0.25">
      <c r="B4" s="5">
        <v>45877</v>
      </c>
      <c r="C4" s="6" t="s">
        <v>92</v>
      </c>
      <c r="D4" s="7">
        <v>3</v>
      </c>
      <c r="E4" s="8">
        <f>_xlfn.XLOOKUP(Table57610[[#This Row],[Descripcion]],Parametros!$B$3:$B$12,Parametros!$F$3:$F$12, "NO ENCONTRADO")</f>
        <v>800</v>
      </c>
      <c r="F4" s="8">
        <f t="shared" ref="F4" si="0">D4*E4</f>
        <v>2400</v>
      </c>
      <c r="G4" s="11" t="str">
        <f>_xlfn.XLOOKUP(Table57610[[#This Row],[Descripcion]],Parametros!$B$3:$B$12,Parametros!$D$3:$D$12, "NO ENCONTRADO")</f>
        <v>Rodolfo Sanchez</v>
      </c>
      <c r="H4" s="9" t="s">
        <v>106</v>
      </c>
      <c r="I4" s="9" t="s">
        <v>14</v>
      </c>
      <c r="J4" s="6"/>
      <c r="L4" s="25" t="s">
        <v>37</v>
      </c>
      <c r="M4" s="26" t="s">
        <v>110</v>
      </c>
      <c r="O4" s="69">
        <v>45843</v>
      </c>
      <c r="P4" s="35">
        <v>0.7</v>
      </c>
      <c r="Q4" s="35">
        <v>0</v>
      </c>
    </row>
    <row r="5" spans="2:17" hidden="1" x14ac:dyDescent="0.25">
      <c r="B5" s="5">
        <v>45877</v>
      </c>
      <c r="C5" s="15" t="s">
        <v>99</v>
      </c>
      <c r="D5" s="16">
        <v>4</v>
      </c>
      <c r="E5" s="17">
        <f>_xlfn.XLOOKUP(Table57610[[#This Row],[Descripcion]],Parametros!$B$3:$B$12,Parametros!$F$3:$F$12, "NO ENCONTRADO")</f>
        <v>587.5</v>
      </c>
      <c r="F5" s="12">
        <f>D5*E5</f>
        <v>2350</v>
      </c>
      <c r="G5" s="13" t="str">
        <f>_xlfn.XLOOKUP(Table57610[[#This Row],[Descripcion]],Parametros!$B$3:$B$12,Parametros!$D$3:$D$12, "NO ENCONTRADO")</f>
        <v>Rodolfo Sanchez</v>
      </c>
      <c r="H5" s="9" t="s">
        <v>106</v>
      </c>
      <c r="I5" s="9" t="s">
        <v>14</v>
      </c>
      <c r="J5" s="97"/>
      <c r="L5" s="25" t="s">
        <v>38</v>
      </c>
      <c r="M5" s="93">
        <v>18950</v>
      </c>
      <c r="O5" s="69">
        <v>45874</v>
      </c>
      <c r="P5" s="35">
        <v>7</v>
      </c>
      <c r="Q5" s="34">
        <f>_xlfn.DAYS(O5,O4)</f>
        <v>31</v>
      </c>
    </row>
    <row r="6" spans="2:17" hidden="1" x14ac:dyDescent="0.25">
      <c r="B6" s="14">
        <v>45907</v>
      </c>
      <c r="C6" s="15" t="s">
        <v>99</v>
      </c>
      <c r="D6" s="16">
        <v>6</v>
      </c>
      <c r="E6" s="17">
        <f>_xlfn.XLOOKUP(Table57610[[#This Row],[Descripcion]],Parametros!$B$3:$B$12,Parametros!$F$3:$F$12, "NO ENCONTRADO")</f>
        <v>587.5</v>
      </c>
      <c r="F6" s="17">
        <f>D6*E6</f>
        <v>3525</v>
      </c>
      <c r="G6" s="13" t="str">
        <f>_xlfn.XLOOKUP(Table57610[[#This Row],[Descripcion]],Parametros!$B$3:$B$12,Parametros!$D$3:$D$12, "NO ENCONTRADO")</f>
        <v>Rodolfo Sanchez</v>
      </c>
      <c r="H6" s="9" t="s">
        <v>106</v>
      </c>
      <c r="I6" s="9" t="s">
        <v>14</v>
      </c>
      <c r="J6" s="97"/>
      <c r="L6" s="25" t="s">
        <v>39</v>
      </c>
      <c r="M6" s="28">
        <v>0</v>
      </c>
      <c r="O6" s="69">
        <v>45895</v>
      </c>
      <c r="P6" s="35">
        <v>27</v>
      </c>
      <c r="Q6" s="34">
        <f>_xlfn.DAYS(O6,O5)</f>
        <v>21</v>
      </c>
    </row>
    <row r="7" spans="2:17" hidden="1" x14ac:dyDescent="0.25">
      <c r="B7" s="14">
        <v>45926</v>
      </c>
      <c r="C7" s="15" t="s">
        <v>99</v>
      </c>
      <c r="D7" s="16">
        <v>8</v>
      </c>
      <c r="E7" s="17">
        <f>_xlfn.XLOOKUP(Table57610[[#This Row],[Descripcion]],Parametros!$B$3:$B$12,Parametros!$F$3:$F$12, "NO ENCONTRADO")</f>
        <v>587.5</v>
      </c>
      <c r="F7" s="17">
        <f>D7*E7</f>
        <v>4700</v>
      </c>
      <c r="G7" s="13" t="str">
        <f>_xlfn.XLOOKUP(Table57610[[#This Row],[Descripcion]],Parametros!$B$3:$B$12,Parametros!$D$3:$D$12, "NO ENCONTRADO")</f>
        <v>Rodolfo Sanchez</v>
      </c>
      <c r="H7" s="9" t="s">
        <v>106</v>
      </c>
      <c r="I7" s="9" t="s">
        <v>14</v>
      </c>
      <c r="J7" s="97"/>
      <c r="L7" s="25" t="s">
        <v>40</v>
      </c>
      <c r="M7" s="28">
        <f>Table57610[[#Totals],[Precio Total]]</f>
        <v>17622.5</v>
      </c>
      <c r="O7" s="69">
        <v>45919</v>
      </c>
      <c r="P7" s="35">
        <v>53.3</v>
      </c>
      <c r="Q7" s="34">
        <f>_xlfn.DAYS(O7,O6)</f>
        <v>24</v>
      </c>
    </row>
    <row r="8" spans="2:17" x14ac:dyDescent="0.25">
      <c r="B8" s="14">
        <v>45964</v>
      </c>
      <c r="C8" s="33" t="s">
        <v>100</v>
      </c>
      <c r="D8" s="16">
        <v>6</v>
      </c>
      <c r="E8" s="8">
        <f>_xlfn.XLOOKUP(Table57610[[#This Row],[Descripcion]],Parametros!$B$3:$B$12,Parametros!$F$3:$F$12, "NO ENCONTRADO")</f>
        <v>422.5</v>
      </c>
      <c r="F8" s="8">
        <f>D8*E8</f>
        <v>2535</v>
      </c>
      <c r="G8" s="13" t="str">
        <f>_xlfn.XLOOKUP(Table57610[[#This Row],[Descripcion]],Parametros!$B$3:$B$12,Parametros!$D$3:$D$12, "NO ENCONTRADO")</f>
        <v>Rodolfo Sanchez</v>
      </c>
      <c r="H8" s="9" t="s">
        <v>106</v>
      </c>
      <c r="I8" s="9" t="s">
        <v>14</v>
      </c>
      <c r="J8" s="11"/>
      <c r="L8" s="25" t="s">
        <v>41</v>
      </c>
      <c r="M8" s="28">
        <f>Table57610[[#Totals],[Precio Total]]/M10</f>
        <v>0.92994722955145115</v>
      </c>
      <c r="O8" s="69">
        <v>45946</v>
      </c>
      <c r="P8" s="35">
        <v>140</v>
      </c>
      <c r="Q8" s="34">
        <f>_xlfn.DAYS(O8,O7)</f>
        <v>27</v>
      </c>
    </row>
    <row r="9" spans="2:17" ht="15.75" thickBot="1" x14ac:dyDescent="0.3">
      <c r="B9" s="5">
        <v>45993</v>
      </c>
      <c r="C9" s="33" t="s">
        <v>100</v>
      </c>
      <c r="D9" s="7">
        <v>5</v>
      </c>
      <c r="E9" s="8">
        <f>_xlfn.XLOOKUP(Table57610[[#This Row],[Descripcion]],Parametros!$B$3:$B$12,Parametros!$F$3:$F$12, "NO ENCONTRADO")</f>
        <v>422.5</v>
      </c>
      <c r="F9" s="8">
        <f>D9*E9</f>
        <v>2112.5</v>
      </c>
      <c r="G9" s="13" t="str">
        <f>_xlfn.XLOOKUP(Table57610[[#This Row],[Descripcion]],Parametros!$B$3:$B$12,Parametros!$D$3:$D$12, "NO ENCONTRADO")</f>
        <v>Rodolfo Sanchez</v>
      </c>
      <c r="H9" s="9" t="s">
        <v>106</v>
      </c>
      <c r="I9" s="9" t="s">
        <v>14</v>
      </c>
      <c r="J9" s="11"/>
      <c r="L9" s="25" t="s">
        <v>42</v>
      </c>
      <c r="M9" s="93">
        <v>0</v>
      </c>
      <c r="O9" s="69">
        <v>45993</v>
      </c>
      <c r="P9" s="35">
        <v>273</v>
      </c>
      <c r="Q9" s="34">
        <f>_xlfn.DAYS(O9,O8)</f>
        <v>47</v>
      </c>
    </row>
    <row r="10" spans="2:17" ht="15.75" thickTop="1" x14ac:dyDescent="0.25">
      <c r="B10" s="18"/>
      <c r="C10" s="19"/>
      <c r="D10" s="20"/>
      <c r="E10" s="21"/>
      <c r="F10" s="22">
        <f>SUM(F4:F9)</f>
        <v>17622.5</v>
      </c>
      <c r="G10" s="23"/>
      <c r="H10" s="24"/>
      <c r="I10" s="23"/>
      <c r="J10" s="56"/>
      <c r="L10" s="25" t="s">
        <v>43</v>
      </c>
      <c r="M10" s="93">
        <f>M5-M9</f>
        <v>18950</v>
      </c>
      <c r="O10" s="69"/>
      <c r="P10" s="35"/>
      <c r="Q10" s="34"/>
    </row>
    <row r="11" spans="2:17" x14ac:dyDescent="0.25">
      <c r="B11" s="114" t="s">
        <v>52</v>
      </c>
      <c r="C11" s="114"/>
      <c r="D11" s="114"/>
      <c r="E11" s="114"/>
      <c r="F11" s="114"/>
      <c r="G11" s="114"/>
      <c r="H11" s="114"/>
      <c r="I11" s="114"/>
      <c r="J11" s="34"/>
      <c r="L11" s="25" t="s">
        <v>44</v>
      </c>
      <c r="M11" s="29">
        <f>100/M5</f>
        <v>5.2770448548812663E-3</v>
      </c>
    </row>
    <row r="12" spans="2:17" ht="30" x14ac:dyDescent="0.25">
      <c r="B12" s="38" t="s">
        <v>53</v>
      </c>
      <c r="C12" s="39" t="s">
        <v>54</v>
      </c>
      <c r="D12" s="40" t="s">
        <v>55</v>
      </c>
      <c r="E12" s="39" t="s">
        <v>56</v>
      </c>
      <c r="F12" s="39" t="s">
        <v>57</v>
      </c>
      <c r="G12" s="39" t="s">
        <v>58</v>
      </c>
      <c r="H12" s="39" t="s">
        <v>59</v>
      </c>
      <c r="I12" s="39" t="s">
        <v>60</v>
      </c>
      <c r="J12" s="53"/>
      <c r="L12" s="25" t="s">
        <v>121</v>
      </c>
      <c r="M12" s="30">
        <f>Table914812[[#Totals],[Fecha]]</f>
        <v>2</v>
      </c>
    </row>
    <row r="13" spans="2:17" ht="15.75" thickBot="1" x14ac:dyDescent="0.3">
      <c r="B13" s="94">
        <f>M5</f>
        <v>18950</v>
      </c>
      <c r="C13" s="45" t="s">
        <v>91</v>
      </c>
      <c r="D13" s="41">
        <f>(B13*$M$11)/100</f>
        <v>1</v>
      </c>
      <c r="E13" s="95">
        <f>$M$10*D13</f>
        <v>18950</v>
      </c>
      <c r="F13" s="43">
        <f>Table57610[[#Totals],[Precio Total]]</f>
        <v>17622.5</v>
      </c>
      <c r="G13" s="43">
        <f>(Table914812[[#Totals],[Pago]]/$M$10)*E13</f>
        <v>18322.5</v>
      </c>
      <c r="H13" s="44">
        <f>G13</f>
        <v>18322.5</v>
      </c>
      <c r="I13" s="44">
        <f>F13-H13</f>
        <v>-700</v>
      </c>
      <c r="J13" s="54"/>
      <c r="L13" s="25" t="s">
        <v>46</v>
      </c>
      <c r="M13" s="94">
        <f>M10-M12</f>
        <v>18948</v>
      </c>
    </row>
    <row r="14" spans="2:17" ht="15.75" thickTop="1" x14ac:dyDescent="0.25">
      <c r="B14" s="47"/>
      <c r="C14" s="48"/>
      <c r="D14" s="49"/>
      <c r="E14" s="50">
        <f>SUBTOTAL(109,Table8711[Animales Restantes])</f>
        <v>18950</v>
      </c>
      <c r="F14" s="51">
        <f>SUBTOTAL(109,Table8711[Gasto])</f>
        <v>17622.5</v>
      </c>
      <c r="G14" s="51">
        <f>SUBTOTAL(109,Table8711[Ingreso])</f>
        <v>18322.5</v>
      </c>
      <c r="H14" s="51">
        <f>SUBTOTAL(109,Table8711[Pago])</f>
        <v>18322.5</v>
      </c>
      <c r="I14" s="51">
        <f>SUBTOTAL(109,Table8711[Restante])</f>
        <v>-700</v>
      </c>
      <c r="J14" s="55"/>
      <c r="L14" s="25" t="s">
        <v>128</v>
      </c>
      <c r="M14" s="94">
        <f>(M13*P9)/1000</f>
        <v>5172.8040000000001</v>
      </c>
    </row>
    <row r="15" spans="2:17" x14ac:dyDescent="0.25">
      <c r="L15" s="25" t="s">
        <v>47</v>
      </c>
      <c r="M15" s="32">
        <f>Table914812[[#Totals],[Peso del 
Organismo]]</f>
        <v>261.75</v>
      </c>
    </row>
    <row r="16" spans="2:17" x14ac:dyDescent="0.25">
      <c r="B16" s="114" t="s">
        <v>64</v>
      </c>
      <c r="C16" s="114"/>
      <c r="D16" s="114"/>
      <c r="E16" s="114"/>
      <c r="F16" s="114"/>
      <c r="G16" s="114"/>
      <c r="H16" s="114"/>
      <c r="I16" s="114"/>
      <c r="J16" s="114"/>
      <c r="L16" s="25" t="s">
        <v>48</v>
      </c>
      <c r="M16" s="32">
        <f>M15/M12</f>
        <v>130.875</v>
      </c>
    </row>
    <row r="17" spans="2:13" ht="30" x14ac:dyDescent="0.25">
      <c r="B17" s="58" t="s">
        <v>1</v>
      </c>
      <c r="C17" s="58" t="s">
        <v>65</v>
      </c>
      <c r="D17" s="39" t="s">
        <v>66</v>
      </c>
      <c r="E17" s="59" t="s">
        <v>67</v>
      </c>
      <c r="F17" s="39" t="s">
        <v>68</v>
      </c>
      <c r="G17" s="58" t="s">
        <v>69</v>
      </c>
      <c r="H17" s="58" t="s">
        <v>59</v>
      </c>
      <c r="I17" s="58" t="s">
        <v>70</v>
      </c>
      <c r="J17" s="60" t="s">
        <v>71</v>
      </c>
      <c r="L17" s="25" t="s">
        <v>122</v>
      </c>
      <c r="M17" s="26" t="s">
        <v>135</v>
      </c>
    </row>
    <row r="18" spans="2:13" x14ac:dyDescent="0.25">
      <c r="B18" s="69">
        <v>45664</v>
      </c>
      <c r="C18" s="77" t="s">
        <v>148</v>
      </c>
      <c r="D18" s="75">
        <v>70</v>
      </c>
      <c r="E18" s="63">
        <v>236.25</v>
      </c>
      <c r="F18" s="44">
        <f>Table914812[[#This Row],[Precio por 
Kg]]*Table914812[[#This Row],[Peso del 
Organismo]]</f>
        <v>16537.5</v>
      </c>
      <c r="G18" s="64">
        <v>0</v>
      </c>
      <c r="H18" s="65">
        <f>Table914812[[#This Row],[Precio del 
Organismo]]-Table914812[[#This Row],[Pendiente]]</f>
        <v>16537.5</v>
      </c>
      <c r="I18" s="30"/>
      <c r="J18" s="30"/>
      <c r="L18" s="33" t="s">
        <v>51</v>
      </c>
      <c r="M18" s="30">
        <f>M17-M4</f>
        <v>79</v>
      </c>
    </row>
    <row r="19" spans="2:13" x14ac:dyDescent="0.25">
      <c r="B19" s="69">
        <v>45666</v>
      </c>
      <c r="C19" s="77" t="s">
        <v>148</v>
      </c>
      <c r="D19" s="75">
        <v>70</v>
      </c>
      <c r="E19" s="63">
        <v>25.5</v>
      </c>
      <c r="F19" s="46">
        <f>Table914812[[#This Row],[Precio por 
Kg]]*Table914812[[#This Row],[Peso del 
Organismo]]</f>
        <v>1785</v>
      </c>
      <c r="G19" s="72">
        <v>0</v>
      </c>
      <c r="H19" s="71">
        <f>Table914812[[#This Row],[Precio del 
Organismo]]-Table914812[[#This Row],[Pendiente]]</f>
        <v>1785</v>
      </c>
      <c r="I19" s="68"/>
      <c r="J19" s="34"/>
    </row>
    <row r="20" spans="2:13" x14ac:dyDescent="0.25">
      <c r="B20" s="76"/>
      <c r="C20" s="77"/>
      <c r="D20" s="75">
        <v>0</v>
      </c>
      <c r="E20" s="63"/>
      <c r="F20" s="46">
        <f>Table914812[[#This Row],[Precio por 
Kg]]*Table914812[[#This Row],[Peso del 
Organismo]]</f>
        <v>0</v>
      </c>
      <c r="G20" s="72">
        <v>0</v>
      </c>
      <c r="H20" s="71">
        <f>Table914812[[#This Row],[Precio del 
Organismo]]-Table914812[[#This Row],[Pendiente]]</f>
        <v>0</v>
      </c>
      <c r="I20" s="68"/>
      <c r="J20" s="34"/>
    </row>
    <row r="21" spans="2:13" ht="15.75" thickBot="1" x14ac:dyDescent="0.3">
      <c r="B21" s="69"/>
      <c r="C21" s="78"/>
      <c r="D21" s="75">
        <v>0</v>
      </c>
      <c r="E21" s="63"/>
      <c r="F21" s="46">
        <f>Table914812[[#This Row],[Precio por 
Kg]]*Table914812[[#This Row],[Peso del 
Organismo]]</f>
        <v>0</v>
      </c>
      <c r="G21" s="72">
        <v>0</v>
      </c>
      <c r="H21" s="71">
        <f>Table914812[[#This Row],[Precio del 
Organismo]]-Table914812[[#This Row],[Pendiente]]</f>
        <v>0</v>
      </c>
      <c r="I21" s="79"/>
      <c r="J21" s="52"/>
    </row>
    <row r="22" spans="2:13" ht="15.75" thickTop="1" x14ac:dyDescent="0.25">
      <c r="B22" s="80">
        <f>SUBTOTAL(103,Table914812[Fecha])</f>
        <v>2</v>
      </c>
      <c r="C22" s="80"/>
      <c r="D22" s="81">
        <f>SUBTOTAL(101,Table914812[Precio por 
Kg])</f>
        <v>35</v>
      </c>
      <c r="E22" s="82">
        <f>SUBTOTAL(109,Table914812[Peso del 
Organismo])</f>
        <v>261.75</v>
      </c>
      <c r="F22" s="81">
        <f>SUBTOTAL(109,Table914812[Precio del 
Organismo])</f>
        <v>18322.5</v>
      </c>
      <c r="G22" s="81">
        <f>SUBTOTAL(109,Table914812[Pendiente])</f>
        <v>0</v>
      </c>
      <c r="H22" s="81">
        <f>SUBTOTAL(109,Table914812[Pago])</f>
        <v>18322.5</v>
      </c>
      <c r="I22" s="83"/>
      <c r="J22" s="84"/>
    </row>
  </sheetData>
  <mergeCells count="5">
    <mergeCell ref="B2:J2"/>
    <mergeCell ref="L2:M2"/>
    <mergeCell ref="O2:Q2"/>
    <mergeCell ref="B11:I11"/>
    <mergeCell ref="B16:J16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8266-D852-4C28-B6D2-4CA0590CE482}">
  <dimension ref="B2:Q22"/>
  <sheetViews>
    <sheetView workbookViewId="0">
      <selection activeCell="E29" sqref="E29"/>
    </sheetView>
  </sheetViews>
  <sheetFormatPr defaultRowHeight="15" x14ac:dyDescent="0.25"/>
  <cols>
    <col min="1" max="1" width="1.7109375" customWidth="1"/>
    <col min="2" max="2" width="10.85546875" bestFit="1" customWidth="1"/>
    <col min="3" max="3" width="55.140625" bestFit="1" customWidth="1"/>
    <col min="4" max="4" width="17.28515625" bestFit="1" customWidth="1"/>
    <col min="5" max="5" width="12.7109375" bestFit="1" customWidth="1"/>
    <col min="6" max="6" width="15.28515625" bestFit="1" customWidth="1"/>
    <col min="7" max="7" width="21.5703125" bestFit="1" customWidth="1"/>
    <col min="8" max="8" width="14.28515625" bestFit="1" customWidth="1"/>
    <col min="9" max="9" width="15.7109375" bestFit="1" customWidth="1"/>
    <col min="10" max="10" width="15.7109375" customWidth="1"/>
    <col min="11" max="11" width="1.7109375" customWidth="1"/>
    <col min="12" max="12" width="33.5703125" bestFit="1" customWidth="1"/>
    <col min="13" max="13" width="14.5703125" bestFit="1" customWidth="1"/>
    <col min="14" max="14" width="1.7109375" customWidth="1"/>
    <col min="15" max="15" width="10.85546875" bestFit="1" customWidth="1"/>
    <col min="16" max="16" width="17.7109375" customWidth="1"/>
    <col min="17" max="17" width="14.42578125" customWidth="1"/>
  </cols>
  <sheetData>
    <row r="2" spans="2:17" x14ac:dyDescent="0.25">
      <c r="B2" s="112" t="s">
        <v>0</v>
      </c>
      <c r="C2" s="112"/>
      <c r="D2" s="112"/>
      <c r="E2" s="112"/>
      <c r="F2" s="112"/>
      <c r="G2" s="112"/>
      <c r="H2" s="112"/>
      <c r="I2" s="112"/>
      <c r="J2" s="112"/>
      <c r="L2" s="113" t="s">
        <v>34</v>
      </c>
      <c r="M2" s="113"/>
      <c r="O2" s="112" t="s">
        <v>86</v>
      </c>
      <c r="P2" s="112"/>
      <c r="Q2" s="112"/>
    </row>
    <row r="3" spans="2:17" s="35" customFormat="1" ht="30" x14ac:dyDescent="0.25">
      <c r="B3" s="88" t="s">
        <v>1</v>
      </c>
      <c r="C3" s="89" t="s">
        <v>2</v>
      </c>
      <c r="D3" s="89" t="s">
        <v>3</v>
      </c>
      <c r="E3" s="90" t="s">
        <v>4</v>
      </c>
      <c r="F3" s="91" t="s">
        <v>5</v>
      </c>
      <c r="G3" s="91" t="s">
        <v>6</v>
      </c>
      <c r="H3" s="90" t="s">
        <v>7</v>
      </c>
      <c r="I3" s="89" t="s">
        <v>8</v>
      </c>
      <c r="J3" s="89" t="s">
        <v>63</v>
      </c>
      <c r="K3" s="92"/>
      <c r="L3" s="86" t="s">
        <v>35</v>
      </c>
      <c r="M3" s="87" t="s">
        <v>126</v>
      </c>
      <c r="N3" s="92"/>
      <c r="O3" s="92" t="s">
        <v>1</v>
      </c>
      <c r="P3" s="53" t="s">
        <v>89</v>
      </c>
      <c r="Q3" s="53" t="s">
        <v>108</v>
      </c>
    </row>
    <row r="4" spans="2:17" hidden="1" x14ac:dyDescent="0.25">
      <c r="B4" s="5">
        <v>45907</v>
      </c>
      <c r="C4" s="6" t="s">
        <v>92</v>
      </c>
      <c r="D4" s="7">
        <v>4</v>
      </c>
      <c r="E4" s="8">
        <f>_xlfn.XLOOKUP(Table5761014[[#This Row],[Descripcion]],Parametros!$B$3:$B$12,Parametros!$F$3:$F$12, "NO ENCONTRADO")</f>
        <v>800</v>
      </c>
      <c r="F4" s="8">
        <f t="shared" ref="F4" si="0">D4*E4</f>
        <v>3200</v>
      </c>
      <c r="G4" s="13" t="str">
        <f>_xlfn.XLOOKUP(Table57610[[#This Row],[Descripcion]],Parametros!$B$3:$B$12,Parametros!$D$3:$D$12, "NO ENCONTRADO")</f>
        <v>Rodolfo Sanchez</v>
      </c>
      <c r="H4" s="9" t="s">
        <v>106</v>
      </c>
      <c r="I4" s="9" t="s">
        <v>14</v>
      </c>
      <c r="J4" s="6"/>
      <c r="L4" s="25" t="s">
        <v>37</v>
      </c>
      <c r="M4" s="26" t="s">
        <v>111</v>
      </c>
      <c r="O4" s="69">
        <v>45877</v>
      </c>
      <c r="P4" s="35">
        <v>2</v>
      </c>
      <c r="Q4" s="35">
        <v>0</v>
      </c>
    </row>
    <row r="5" spans="2:17" hidden="1" x14ac:dyDescent="0.25">
      <c r="B5" s="5">
        <v>45907</v>
      </c>
      <c r="C5" s="6" t="s">
        <v>99</v>
      </c>
      <c r="D5" s="16">
        <v>4</v>
      </c>
      <c r="E5" s="8">
        <f>_xlfn.XLOOKUP(Table5761014[[#This Row],[Descripcion]],Parametros!$B$3:$B$12,Parametros!$F$3:$F$12, "NO ENCONTRADO")</f>
        <v>587.5</v>
      </c>
      <c r="F5" s="12">
        <f>D5*E5</f>
        <v>2350</v>
      </c>
      <c r="G5" s="13" t="str">
        <f>_xlfn.XLOOKUP(Table57610[[#This Row],[Descripcion]],Parametros!$B$3:$B$12,Parametros!$D$3:$D$12, "NO ENCONTRADO")</f>
        <v>Rodolfo Sanchez</v>
      </c>
      <c r="H5" s="9" t="s">
        <v>106</v>
      </c>
      <c r="I5" s="9" t="s">
        <v>14</v>
      </c>
      <c r="J5" s="97"/>
      <c r="L5" s="25" t="s">
        <v>38</v>
      </c>
      <c r="M5" s="93">
        <v>17000</v>
      </c>
      <c r="O5" s="69">
        <v>45895</v>
      </c>
      <c r="P5" s="35">
        <v>12.15</v>
      </c>
      <c r="Q5" s="34">
        <f t="shared" ref="Q5:Q10" si="1">_xlfn.DAYS(O5,O4)</f>
        <v>18</v>
      </c>
    </row>
    <row r="6" spans="2:17" hidden="1" x14ac:dyDescent="0.25">
      <c r="B6" s="14">
        <v>45926</v>
      </c>
      <c r="C6" s="6" t="s">
        <v>99</v>
      </c>
      <c r="D6" s="16">
        <v>8</v>
      </c>
      <c r="E6" s="8">
        <f>_xlfn.XLOOKUP(Table5761014[[#This Row],[Descripcion]],Parametros!$B$3:$B$12,Parametros!$F$3:$F$12, "NO ENCONTRADO")</f>
        <v>587.5</v>
      </c>
      <c r="F6" s="12">
        <f>D6*E6</f>
        <v>4700</v>
      </c>
      <c r="G6" s="13" t="str">
        <f>_xlfn.XLOOKUP(Table57610[[#This Row],[Descripcion]],Parametros!$B$3:$B$12,Parametros!$D$3:$D$12, "NO ENCONTRADO")</f>
        <v>Rodolfo Sanchez</v>
      </c>
      <c r="H6" s="9" t="s">
        <v>106</v>
      </c>
      <c r="I6" s="9" t="s">
        <v>14</v>
      </c>
      <c r="J6" s="97"/>
      <c r="L6" s="25" t="s">
        <v>39</v>
      </c>
      <c r="M6" s="28">
        <v>0</v>
      </c>
      <c r="O6" s="69">
        <v>45919</v>
      </c>
      <c r="P6" s="35">
        <v>27.7</v>
      </c>
      <c r="Q6" s="34">
        <f t="shared" si="1"/>
        <v>24</v>
      </c>
    </row>
    <row r="7" spans="2:17" hidden="1" x14ac:dyDescent="0.25">
      <c r="B7" s="14">
        <v>45964</v>
      </c>
      <c r="C7" s="6" t="s">
        <v>100</v>
      </c>
      <c r="D7" s="16">
        <v>6</v>
      </c>
      <c r="E7" s="8">
        <f>_xlfn.XLOOKUP(Table5761014[[#This Row],[Descripcion]],Parametros!$B$3:$B$12,Parametros!$F$3:$F$12, "NO ENCONTRADO")</f>
        <v>422.5</v>
      </c>
      <c r="F7" s="12">
        <f>D7*E7</f>
        <v>2535</v>
      </c>
      <c r="G7" s="13" t="str">
        <f>_xlfn.XLOOKUP(Table57610[[#This Row],[Descripcion]],Parametros!$B$3:$B$12,Parametros!$D$3:$D$12, "NO ENCONTRADO")</f>
        <v>Rodolfo Sanchez</v>
      </c>
      <c r="H7" s="9" t="s">
        <v>106</v>
      </c>
      <c r="I7" s="9" t="s">
        <v>14</v>
      </c>
      <c r="J7" s="97"/>
      <c r="L7" s="25" t="s">
        <v>40</v>
      </c>
      <c r="M7" s="28">
        <f>Table5761014[[#Totals],[Precio Total]]</f>
        <v>20812.5</v>
      </c>
      <c r="O7" s="69">
        <v>45946</v>
      </c>
      <c r="P7" s="35">
        <v>105</v>
      </c>
      <c r="Q7" s="34">
        <f t="shared" si="1"/>
        <v>27</v>
      </c>
    </row>
    <row r="8" spans="2:17" hidden="1" x14ac:dyDescent="0.25">
      <c r="B8" s="5">
        <v>45993</v>
      </c>
      <c r="C8" s="6" t="s">
        <v>100</v>
      </c>
      <c r="D8" s="7">
        <v>9</v>
      </c>
      <c r="E8" s="8">
        <f>_xlfn.XLOOKUP(Table5761014[[#This Row],[Descripcion]],Parametros!$B$3:$B$12,Parametros!$F$3:$F$12, "NO ENCONTRADO")</f>
        <v>422.5</v>
      </c>
      <c r="F8" s="10">
        <f>D8*E8</f>
        <v>3802.5</v>
      </c>
      <c r="G8" s="13" t="str">
        <f>_xlfn.XLOOKUP(Table57610[[#This Row],[Descripcion]],Parametros!$B$3:$B$12,Parametros!$D$3:$D$12, "NO ENCONTRADO")</f>
        <v>Rodolfo Sanchez</v>
      </c>
      <c r="H8" s="9" t="s">
        <v>106</v>
      </c>
      <c r="I8" s="9" t="s">
        <v>14</v>
      </c>
      <c r="J8" s="11"/>
      <c r="L8" s="25" t="s">
        <v>41</v>
      </c>
      <c r="M8" s="28">
        <f>Table5761014[[#Totals],[Precio Total]]/M10</f>
        <v>1.224264705882353</v>
      </c>
      <c r="O8" s="69">
        <v>45993</v>
      </c>
      <c r="P8" s="35">
        <v>177</v>
      </c>
      <c r="Q8" s="34">
        <f t="shared" si="1"/>
        <v>47</v>
      </c>
    </row>
    <row r="9" spans="2:17" ht="15.75" thickBot="1" x14ac:dyDescent="0.3">
      <c r="B9" s="5">
        <v>45993</v>
      </c>
      <c r="C9" s="15" t="s">
        <v>101</v>
      </c>
      <c r="D9" s="7">
        <v>10</v>
      </c>
      <c r="E9" s="8">
        <f>_xlfn.XLOOKUP(Table5761014[[#This Row],[Descripcion]],Parametros!$B$3:$B$12,Parametros!$F$3:$F$12, "NO ENCONTRADO")</f>
        <v>422.5</v>
      </c>
      <c r="F9" s="10">
        <f>D9*E9</f>
        <v>4225</v>
      </c>
      <c r="G9" s="13" t="str">
        <f>_xlfn.XLOOKUP(Table57610[[#This Row],[Descripcion]],Parametros!$B$3:$B$12,Parametros!$D$3:$D$12, "NO ENCONTRADO")</f>
        <v>Rodolfo Sanchez</v>
      </c>
      <c r="H9" s="9"/>
      <c r="I9" s="9"/>
      <c r="J9" s="11"/>
      <c r="L9" s="25" t="s">
        <v>42</v>
      </c>
      <c r="M9" s="93">
        <v>0</v>
      </c>
      <c r="O9" s="69">
        <v>46059</v>
      </c>
      <c r="P9" s="35">
        <v>314</v>
      </c>
      <c r="Q9" s="34">
        <f t="shared" si="1"/>
        <v>66</v>
      </c>
    </row>
    <row r="10" spans="2:17" ht="15.75" thickTop="1" x14ac:dyDescent="0.25">
      <c r="B10" s="18"/>
      <c r="C10" s="19"/>
      <c r="D10" s="20"/>
      <c r="E10" s="21"/>
      <c r="F10" s="22">
        <f>SUM(F4:F9)</f>
        <v>20812.5</v>
      </c>
      <c r="G10" s="23"/>
      <c r="H10" s="24"/>
      <c r="I10" s="23"/>
      <c r="J10" s="56"/>
      <c r="L10" s="25" t="s">
        <v>43</v>
      </c>
      <c r="M10" s="93">
        <f>M5-M9</f>
        <v>17000</v>
      </c>
      <c r="O10" s="69">
        <v>46105</v>
      </c>
      <c r="P10" s="35">
        <v>403</v>
      </c>
      <c r="Q10" s="34">
        <f t="shared" si="1"/>
        <v>46</v>
      </c>
    </row>
    <row r="11" spans="2:17" x14ac:dyDescent="0.25">
      <c r="B11" s="114" t="s">
        <v>52</v>
      </c>
      <c r="C11" s="114"/>
      <c r="D11" s="114"/>
      <c r="E11" s="114"/>
      <c r="F11" s="114"/>
      <c r="G11" s="114"/>
      <c r="H11" s="114"/>
      <c r="I11" s="114"/>
      <c r="J11" s="34"/>
      <c r="L11" s="25" t="s">
        <v>44</v>
      </c>
      <c r="M11" s="29">
        <f>100/M5</f>
        <v>5.8823529411764705E-3</v>
      </c>
    </row>
    <row r="12" spans="2:17" ht="30" x14ac:dyDescent="0.25">
      <c r="B12" s="38" t="s">
        <v>53</v>
      </c>
      <c r="C12" s="39" t="s">
        <v>54</v>
      </c>
      <c r="D12" s="40" t="s">
        <v>55</v>
      </c>
      <c r="E12" s="39" t="s">
        <v>56</v>
      </c>
      <c r="F12" s="39" t="s">
        <v>57</v>
      </c>
      <c r="G12" s="39" t="s">
        <v>58</v>
      </c>
      <c r="H12" s="39" t="s">
        <v>59</v>
      </c>
      <c r="I12" s="39" t="s">
        <v>60</v>
      </c>
      <c r="J12" s="53"/>
      <c r="L12" s="25" t="s">
        <v>121</v>
      </c>
      <c r="M12" s="30">
        <f>Table91481216[[#Totals],[Fecha]]</f>
        <v>0</v>
      </c>
    </row>
    <row r="13" spans="2:17" ht="15.75" thickBot="1" x14ac:dyDescent="0.3">
      <c r="B13" s="94">
        <f>M5</f>
        <v>17000</v>
      </c>
      <c r="C13" s="45" t="s">
        <v>91</v>
      </c>
      <c r="D13" s="41">
        <f>(B13*$M$11)/100</f>
        <v>1</v>
      </c>
      <c r="E13" s="95">
        <f>$M$10*D13</f>
        <v>17000</v>
      </c>
      <c r="F13" s="43">
        <v>9198.7444000000014</v>
      </c>
      <c r="G13" s="43">
        <f>(Table91481216[[#Totals],[Pago]]/$M$10)*E13</f>
        <v>0</v>
      </c>
      <c r="H13" s="44">
        <f>G13</f>
        <v>0</v>
      </c>
      <c r="I13" s="44">
        <f>F13-H13</f>
        <v>9198.7444000000014</v>
      </c>
      <c r="J13" s="54"/>
      <c r="L13" s="25" t="s">
        <v>46</v>
      </c>
      <c r="M13" s="94">
        <f>M10-M12</f>
        <v>17000</v>
      </c>
    </row>
    <row r="14" spans="2:17" ht="15.75" thickTop="1" x14ac:dyDescent="0.25">
      <c r="B14" s="47"/>
      <c r="C14" s="48"/>
      <c r="D14" s="49"/>
      <c r="E14" s="98">
        <f>SUBTOTAL(109,Table871115[Animales Restantes])</f>
        <v>17000</v>
      </c>
      <c r="F14" s="51">
        <f>SUBTOTAL(109,Table871115[Gasto])</f>
        <v>9198.7444000000014</v>
      </c>
      <c r="G14" s="51">
        <f>SUBTOTAL(109,Table871115[Ingreso])</f>
        <v>0</v>
      </c>
      <c r="H14" s="51">
        <f>SUBTOTAL(109,Table871115[Pago])</f>
        <v>0</v>
      </c>
      <c r="I14" s="51">
        <f>SUBTOTAL(109,Table871115[Restante])</f>
        <v>9198.7444000000014</v>
      </c>
      <c r="J14" s="55"/>
      <c r="L14" s="25" t="s">
        <v>128</v>
      </c>
      <c r="M14" s="94">
        <f>(M13*P8)/1000</f>
        <v>3009</v>
      </c>
    </row>
    <row r="15" spans="2:17" x14ac:dyDescent="0.25">
      <c r="L15" s="25" t="s">
        <v>47</v>
      </c>
      <c r="M15" s="32">
        <f>Table91481216[[#Totals],[Peso del 
Organismo]]</f>
        <v>0</v>
      </c>
    </row>
    <row r="16" spans="2:17" x14ac:dyDescent="0.25">
      <c r="B16" s="114" t="s">
        <v>64</v>
      </c>
      <c r="C16" s="114"/>
      <c r="D16" s="114"/>
      <c r="E16" s="114"/>
      <c r="F16" s="114"/>
      <c r="G16" s="114"/>
      <c r="H16" s="114"/>
      <c r="I16" s="114"/>
      <c r="J16" s="114"/>
      <c r="L16" s="25" t="s">
        <v>48</v>
      </c>
      <c r="M16" s="32" t="e">
        <f>M15/M12</f>
        <v>#DIV/0!</v>
      </c>
    </row>
    <row r="17" spans="2:13" ht="30" x14ac:dyDescent="0.25">
      <c r="B17" s="58" t="s">
        <v>1</v>
      </c>
      <c r="C17" s="58" t="s">
        <v>65</v>
      </c>
      <c r="D17" s="39" t="s">
        <v>66</v>
      </c>
      <c r="E17" s="59" t="s">
        <v>67</v>
      </c>
      <c r="F17" s="39" t="s">
        <v>68</v>
      </c>
      <c r="G17" s="58" t="s">
        <v>69</v>
      </c>
      <c r="H17" s="58" t="s">
        <v>59</v>
      </c>
      <c r="I17" s="58" t="s">
        <v>70</v>
      </c>
      <c r="J17" s="60" t="s">
        <v>71</v>
      </c>
      <c r="L17" s="25" t="s">
        <v>122</v>
      </c>
      <c r="M17" s="26" t="s">
        <v>123</v>
      </c>
    </row>
    <row r="18" spans="2:13" x14ac:dyDescent="0.25">
      <c r="B18" s="61"/>
      <c r="C18" s="33"/>
      <c r="D18" s="62">
        <v>0</v>
      </c>
      <c r="E18" s="63"/>
      <c r="F18" s="44">
        <f>Table91481216[[#This Row],[Precio por 
Kg]]*Table91481216[[#This Row],[Peso del 
Organismo]]</f>
        <v>0</v>
      </c>
      <c r="G18" s="64">
        <v>0</v>
      </c>
      <c r="H18" s="65">
        <f>Table91481216[[#This Row],[Precio del 
Organismo]]-Table91481216[[#This Row],[Pendiente]]</f>
        <v>0</v>
      </c>
      <c r="I18" s="30"/>
      <c r="J18" s="30"/>
      <c r="L18" s="33" t="s">
        <v>51</v>
      </c>
      <c r="M18" s="30">
        <f>M17-M4</f>
        <v>36</v>
      </c>
    </row>
    <row r="19" spans="2:13" x14ac:dyDescent="0.25">
      <c r="B19" s="69"/>
      <c r="C19" s="33"/>
      <c r="D19" s="75">
        <v>0</v>
      </c>
      <c r="E19" s="63"/>
      <c r="F19" s="46">
        <f>Table91481216[[#This Row],[Precio por 
Kg]]*Table91481216[[#This Row],[Peso del 
Organismo]]</f>
        <v>0</v>
      </c>
      <c r="G19" s="72">
        <v>0</v>
      </c>
      <c r="H19" s="71">
        <f>Table91481216[[#This Row],[Precio del 
Organismo]]-Table91481216[[#This Row],[Pendiente]]</f>
        <v>0</v>
      </c>
      <c r="I19" s="68"/>
      <c r="J19" s="34"/>
    </row>
    <row r="20" spans="2:13" x14ac:dyDescent="0.25">
      <c r="B20" s="76"/>
      <c r="C20" s="77"/>
      <c r="D20" s="75">
        <v>0</v>
      </c>
      <c r="E20" s="63"/>
      <c r="F20" s="46">
        <f>Table91481216[[#This Row],[Precio por 
Kg]]*Table91481216[[#This Row],[Peso del 
Organismo]]</f>
        <v>0</v>
      </c>
      <c r="G20" s="72">
        <v>0</v>
      </c>
      <c r="H20" s="71">
        <f>Table91481216[[#This Row],[Precio del 
Organismo]]-Table91481216[[#This Row],[Pendiente]]</f>
        <v>0</v>
      </c>
      <c r="I20" s="68"/>
      <c r="J20" s="34"/>
    </row>
    <row r="21" spans="2:13" ht="15.75" thickBot="1" x14ac:dyDescent="0.3">
      <c r="B21" s="69"/>
      <c r="C21" s="78"/>
      <c r="D21" s="75">
        <v>0</v>
      </c>
      <c r="E21" s="63"/>
      <c r="F21" s="46">
        <f>Table91481216[[#This Row],[Precio por 
Kg]]*Table91481216[[#This Row],[Peso del 
Organismo]]</f>
        <v>0</v>
      </c>
      <c r="G21" s="72">
        <v>0</v>
      </c>
      <c r="H21" s="71">
        <f>Table91481216[[#This Row],[Precio del 
Organismo]]-Table91481216[[#This Row],[Pendiente]]</f>
        <v>0</v>
      </c>
      <c r="I21" s="79"/>
      <c r="J21" s="52"/>
    </row>
    <row r="22" spans="2:13" ht="15.75" thickTop="1" x14ac:dyDescent="0.25">
      <c r="B22" s="80">
        <f>SUBTOTAL(103,Table91481216[Fecha])</f>
        <v>0</v>
      </c>
      <c r="C22" s="80"/>
      <c r="D22" s="81">
        <f>SUBTOTAL(101,Table91481216[Precio por 
Kg])</f>
        <v>0</v>
      </c>
      <c r="E22" s="82">
        <f>SUBTOTAL(109,Table91481216[Peso del 
Organismo])</f>
        <v>0</v>
      </c>
      <c r="F22" s="81">
        <f>SUBTOTAL(109,Table91481216[Precio del 
Organismo])</f>
        <v>0</v>
      </c>
      <c r="G22" s="81">
        <f>SUBTOTAL(109,Table91481216[Pendiente])</f>
        <v>0</v>
      </c>
      <c r="H22" s="81">
        <f>SUBTOTAL(109,Table91481216[Pago])</f>
        <v>0</v>
      </c>
      <c r="I22" s="83"/>
      <c r="J22" s="84"/>
    </row>
  </sheetData>
  <mergeCells count="5">
    <mergeCell ref="B2:J2"/>
    <mergeCell ref="L2:M2"/>
    <mergeCell ref="O2:Q2"/>
    <mergeCell ref="B11:I11"/>
    <mergeCell ref="B16:J16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08BF-EA18-41EC-B86F-C4B70CDAE0D7}">
  <dimension ref="B2:H12"/>
  <sheetViews>
    <sheetView workbookViewId="0">
      <selection activeCell="D23" sqref="D23"/>
    </sheetView>
  </sheetViews>
  <sheetFormatPr defaultRowHeight="15" x14ac:dyDescent="0.25"/>
  <cols>
    <col min="2" max="2" width="35.5703125" bestFit="1" customWidth="1"/>
    <col min="3" max="3" width="13.42578125" customWidth="1"/>
    <col min="4" max="4" width="16.140625" bestFit="1" customWidth="1"/>
    <col min="5" max="5" width="11.7109375" customWidth="1"/>
    <col min="6" max="6" width="11.85546875" bestFit="1" customWidth="1"/>
  </cols>
  <sheetData>
    <row r="2" spans="2:8" x14ac:dyDescent="0.25">
      <c r="B2" s="57" t="s">
        <v>2</v>
      </c>
      <c r="C2" s="57" t="s">
        <v>112</v>
      </c>
      <c r="D2" s="57" t="s">
        <v>6</v>
      </c>
      <c r="E2" s="57" t="s">
        <v>93</v>
      </c>
      <c r="F2" s="57" t="s">
        <v>94</v>
      </c>
      <c r="G2" s="57" t="s">
        <v>95</v>
      </c>
      <c r="H2" s="30"/>
    </row>
    <row r="3" spans="2:8" x14ac:dyDescent="0.25">
      <c r="B3" s="33" t="s">
        <v>96</v>
      </c>
      <c r="C3" s="30" t="s">
        <v>113</v>
      </c>
      <c r="D3" s="30" t="s">
        <v>114</v>
      </c>
      <c r="E3" s="30">
        <v>10</v>
      </c>
      <c r="F3" s="62">
        <v>495</v>
      </c>
      <c r="G3" s="96">
        <f t="shared" ref="G3:G12" si="0">F3/E3</f>
        <v>49.5</v>
      </c>
      <c r="H3" s="30"/>
    </row>
    <row r="4" spans="2:8" x14ac:dyDescent="0.25">
      <c r="B4" s="33" t="s">
        <v>97</v>
      </c>
      <c r="C4" s="30" t="s">
        <v>115</v>
      </c>
      <c r="D4" s="30" t="s">
        <v>116</v>
      </c>
      <c r="E4" s="30">
        <v>25</v>
      </c>
      <c r="F4" s="44">
        <v>2196</v>
      </c>
      <c r="G4" s="96">
        <f t="shared" si="0"/>
        <v>87.84</v>
      </c>
      <c r="H4" s="25"/>
    </row>
    <row r="5" spans="2:8" x14ac:dyDescent="0.25">
      <c r="B5" s="33" t="s">
        <v>98</v>
      </c>
      <c r="C5" s="30" t="s">
        <v>113</v>
      </c>
      <c r="D5" s="30" t="s">
        <v>114</v>
      </c>
      <c r="E5" s="30">
        <v>25</v>
      </c>
      <c r="F5" s="44">
        <v>986</v>
      </c>
      <c r="G5" s="96">
        <f t="shared" si="0"/>
        <v>39.44</v>
      </c>
      <c r="H5" s="25"/>
    </row>
    <row r="6" spans="2:8" x14ac:dyDescent="0.25">
      <c r="B6" s="33" t="s">
        <v>92</v>
      </c>
      <c r="C6" s="30" t="s">
        <v>113</v>
      </c>
      <c r="D6" s="30" t="s">
        <v>114</v>
      </c>
      <c r="E6" s="30">
        <v>25</v>
      </c>
      <c r="F6" s="44">
        <v>800</v>
      </c>
      <c r="G6" s="96">
        <f t="shared" si="0"/>
        <v>32</v>
      </c>
      <c r="H6" s="25"/>
    </row>
    <row r="7" spans="2:8" x14ac:dyDescent="0.25">
      <c r="B7" s="33" t="s">
        <v>99</v>
      </c>
      <c r="C7" s="30" t="s">
        <v>113</v>
      </c>
      <c r="D7" s="30" t="s">
        <v>114</v>
      </c>
      <c r="E7" s="30">
        <v>25</v>
      </c>
      <c r="F7" s="44">
        <v>587.5</v>
      </c>
      <c r="G7" s="96">
        <f t="shared" si="0"/>
        <v>23.5</v>
      </c>
      <c r="H7" s="25"/>
    </row>
    <row r="8" spans="2:8" x14ac:dyDescent="0.25">
      <c r="B8" s="33" t="s">
        <v>100</v>
      </c>
      <c r="C8" s="30" t="s">
        <v>113</v>
      </c>
      <c r="D8" s="30" t="s">
        <v>114</v>
      </c>
      <c r="E8" s="30">
        <v>25</v>
      </c>
      <c r="F8" s="44">
        <v>422.5</v>
      </c>
      <c r="G8" s="96">
        <f t="shared" si="0"/>
        <v>16.899999999999999</v>
      </c>
      <c r="H8" s="25"/>
    </row>
    <row r="9" spans="2:8" x14ac:dyDescent="0.25">
      <c r="B9" s="33" t="s">
        <v>101</v>
      </c>
      <c r="C9" s="30" t="s">
        <v>113</v>
      </c>
      <c r="D9" s="30" t="s">
        <v>114</v>
      </c>
      <c r="E9" s="30">
        <v>25</v>
      </c>
      <c r="F9" s="44">
        <v>422.5</v>
      </c>
      <c r="G9" s="96">
        <f t="shared" si="0"/>
        <v>16.899999999999999</v>
      </c>
      <c r="H9" s="25"/>
    </row>
    <row r="10" spans="2:8" x14ac:dyDescent="0.25">
      <c r="B10" s="33" t="s">
        <v>102</v>
      </c>
      <c r="C10" s="30" t="s">
        <v>117</v>
      </c>
      <c r="D10" s="30" t="s">
        <v>116</v>
      </c>
      <c r="E10" s="30">
        <v>25</v>
      </c>
      <c r="F10" s="44">
        <f>353.45*1.16</f>
        <v>410.00199999999995</v>
      </c>
      <c r="G10" s="96">
        <f t="shared" si="0"/>
        <v>16.400079999999999</v>
      </c>
      <c r="H10" s="25"/>
    </row>
    <row r="11" spans="2:8" x14ac:dyDescent="0.25">
      <c r="B11" s="33" t="s">
        <v>103</v>
      </c>
      <c r="C11" s="30" t="s">
        <v>118</v>
      </c>
      <c r="D11" s="30" t="s">
        <v>116</v>
      </c>
      <c r="E11" s="30">
        <v>25</v>
      </c>
      <c r="F11" s="44">
        <v>180</v>
      </c>
      <c r="G11" s="96">
        <f t="shared" si="0"/>
        <v>7.2</v>
      </c>
      <c r="H11" s="25" t="s">
        <v>104</v>
      </c>
    </row>
    <row r="12" spans="2:8" x14ac:dyDescent="0.25">
      <c r="B12" s="33" t="s">
        <v>105</v>
      </c>
      <c r="C12" s="30" t="s">
        <v>118</v>
      </c>
      <c r="D12" s="30" t="s">
        <v>116</v>
      </c>
      <c r="E12" s="30">
        <v>50</v>
      </c>
      <c r="F12" s="44">
        <f>213</f>
        <v>213</v>
      </c>
      <c r="G12" s="96">
        <f t="shared" si="0"/>
        <v>4.26</v>
      </c>
      <c r="H12" s="25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5AB2-D813-45EE-8A9E-20805C40F70E}">
  <sheetPr>
    <pageSetUpPr fitToPage="1"/>
  </sheetPr>
  <dimension ref="B2:AD33"/>
  <sheetViews>
    <sheetView topLeftCell="M1" workbookViewId="0">
      <selection activeCell="V2" sqref="V2:AD53"/>
    </sheetView>
  </sheetViews>
  <sheetFormatPr defaultRowHeight="15" x14ac:dyDescent="0.25"/>
  <cols>
    <col min="2" max="2" width="10.85546875" bestFit="1" customWidth="1"/>
    <col min="3" max="3" width="29.28515625" bestFit="1" customWidth="1"/>
    <col min="4" max="4" width="11.28515625" bestFit="1" customWidth="1"/>
    <col min="5" max="5" width="12.7109375" bestFit="1" customWidth="1"/>
    <col min="6" max="6" width="11.7109375" bestFit="1" customWidth="1"/>
    <col min="7" max="7" width="17.85546875" customWidth="1"/>
    <col min="8" max="8" width="13.28515625" bestFit="1" customWidth="1"/>
    <col min="9" max="9" width="12.5703125" bestFit="1" customWidth="1"/>
    <col min="10" max="10" width="13" bestFit="1" customWidth="1"/>
    <col min="12" max="12" width="10.85546875" bestFit="1" customWidth="1"/>
    <col min="13" max="13" width="29.28515625" bestFit="1" customWidth="1"/>
    <col min="14" max="14" width="11.28515625" bestFit="1" customWidth="1"/>
    <col min="15" max="15" width="12.7109375" bestFit="1" customWidth="1"/>
    <col min="16" max="16" width="11.7109375" bestFit="1" customWidth="1"/>
    <col min="17" max="17" width="17.28515625" bestFit="1" customWidth="1"/>
    <col min="18" max="18" width="13.28515625" bestFit="1" customWidth="1"/>
    <col min="19" max="19" width="12.5703125" bestFit="1" customWidth="1"/>
    <col min="20" max="20" width="13" bestFit="1" customWidth="1"/>
    <col min="22" max="22" width="10.85546875" bestFit="1" customWidth="1"/>
    <col min="23" max="23" width="29.28515625" bestFit="1" customWidth="1"/>
    <col min="24" max="24" width="11.28515625" bestFit="1" customWidth="1"/>
    <col min="25" max="25" width="12.7109375" bestFit="1" customWidth="1"/>
    <col min="26" max="26" width="11.7109375" bestFit="1" customWidth="1"/>
    <col min="27" max="27" width="17.28515625" bestFit="1" customWidth="1"/>
    <col min="28" max="28" width="13.28515625" bestFit="1" customWidth="1"/>
    <col min="29" max="29" width="12.5703125" bestFit="1" customWidth="1"/>
    <col min="30" max="30" width="13" bestFit="1" customWidth="1"/>
  </cols>
  <sheetData>
    <row r="2" spans="2:30" x14ac:dyDescent="0.25">
      <c r="B2" s="115" t="s">
        <v>120</v>
      </c>
      <c r="C2" s="115"/>
      <c r="D2" s="115"/>
      <c r="E2" s="115"/>
      <c r="F2" s="115"/>
      <c r="G2" s="115"/>
      <c r="H2" s="115"/>
      <c r="I2" s="115"/>
      <c r="J2" s="115"/>
      <c r="L2" s="115" t="s">
        <v>124</v>
      </c>
      <c r="M2" s="115"/>
      <c r="N2" s="115"/>
      <c r="O2" s="115"/>
      <c r="P2" s="115"/>
      <c r="Q2" s="115"/>
      <c r="R2" s="115"/>
      <c r="S2" s="115"/>
      <c r="T2" s="115"/>
      <c r="V2" s="115" t="s">
        <v>125</v>
      </c>
      <c r="W2" s="115"/>
      <c r="X2" s="115"/>
      <c r="Y2" s="115"/>
      <c r="Z2" s="115"/>
      <c r="AA2" s="115"/>
      <c r="AB2" s="115"/>
      <c r="AC2" s="115"/>
      <c r="AD2" s="115"/>
    </row>
    <row r="3" spans="2:30" x14ac:dyDescent="0.25">
      <c r="B3" s="112" t="s">
        <v>0</v>
      </c>
      <c r="C3" s="112"/>
      <c r="D3" s="112"/>
      <c r="E3" s="112"/>
      <c r="F3" s="112"/>
      <c r="G3" s="112"/>
      <c r="H3" s="112"/>
      <c r="I3" s="112"/>
      <c r="J3" s="112"/>
      <c r="L3" s="112" t="s">
        <v>0</v>
      </c>
      <c r="M3" s="112"/>
      <c r="N3" s="112"/>
      <c r="O3" s="112"/>
      <c r="P3" s="112"/>
      <c r="Q3" s="112"/>
      <c r="R3" s="112"/>
      <c r="S3" s="112"/>
      <c r="T3" s="112"/>
      <c r="V3" s="112" t="s">
        <v>0</v>
      </c>
      <c r="W3" s="112"/>
      <c r="X3" s="112"/>
      <c r="Y3" s="112"/>
      <c r="Z3" s="112"/>
      <c r="AA3" s="112"/>
      <c r="AB3" s="112"/>
      <c r="AC3" s="112"/>
      <c r="AD3" s="112"/>
    </row>
    <row r="4" spans="2:30" ht="30" x14ac:dyDescent="0.25">
      <c r="B4" s="88" t="s">
        <v>1</v>
      </c>
      <c r="C4" s="89" t="s">
        <v>2</v>
      </c>
      <c r="D4" s="89" t="s">
        <v>3</v>
      </c>
      <c r="E4" s="90" t="s">
        <v>4</v>
      </c>
      <c r="F4" s="91" t="s">
        <v>5</v>
      </c>
      <c r="G4" s="91" t="s">
        <v>6</v>
      </c>
      <c r="H4" s="90" t="s">
        <v>7</v>
      </c>
      <c r="I4" s="89" t="s">
        <v>8</v>
      </c>
      <c r="J4" s="89" t="s">
        <v>63</v>
      </c>
      <c r="L4" s="88" t="s">
        <v>1</v>
      </c>
      <c r="M4" s="89" t="s">
        <v>2</v>
      </c>
      <c r="N4" s="89" t="s">
        <v>3</v>
      </c>
      <c r="O4" s="90" t="s">
        <v>4</v>
      </c>
      <c r="P4" s="91" t="s">
        <v>5</v>
      </c>
      <c r="Q4" s="91" t="s">
        <v>6</v>
      </c>
      <c r="R4" s="90" t="s">
        <v>7</v>
      </c>
      <c r="S4" s="89" t="s">
        <v>8</v>
      </c>
      <c r="T4" s="89" t="s">
        <v>63</v>
      </c>
      <c r="V4" s="88" t="s">
        <v>1</v>
      </c>
      <c r="W4" s="89" t="s">
        <v>2</v>
      </c>
      <c r="X4" s="89" t="s">
        <v>3</v>
      </c>
      <c r="Y4" s="90" t="s">
        <v>4</v>
      </c>
      <c r="Z4" s="91" t="s">
        <v>5</v>
      </c>
      <c r="AA4" s="91" t="s">
        <v>6</v>
      </c>
      <c r="AB4" s="90" t="s">
        <v>7</v>
      </c>
      <c r="AC4" s="89" t="s">
        <v>8</v>
      </c>
      <c r="AD4" s="89" t="s">
        <v>63</v>
      </c>
    </row>
    <row r="5" spans="2:30" x14ac:dyDescent="0.25">
      <c r="B5" s="5">
        <v>45707</v>
      </c>
      <c r="C5" s="6" t="s">
        <v>92</v>
      </c>
      <c r="D5" s="7">
        <v>10.039999999999999</v>
      </c>
      <c r="E5" s="8">
        <f>_xlfn.XLOOKUP(Table57618[[#This Row],[Descripcion]],Parametros!$B$3:$B$12,Parametros!$F$3:$F$12, "NO ENCONTRADO")</f>
        <v>800</v>
      </c>
      <c r="F5" s="8">
        <f t="shared" ref="F5:F13" si="0">D5*E5</f>
        <v>8031.9999999999991</v>
      </c>
      <c r="G5" s="11" t="str">
        <f>_xlfn.XLOOKUP(Table57618[[#This Row],[Descripcion]],Parametros!$B$3:$B$12,Parametros!$D$3:$D$12, "NO ENCONTRADO")</f>
        <v>Rodolfo Sanchez</v>
      </c>
      <c r="H5" s="9" t="s">
        <v>106</v>
      </c>
      <c r="I5" s="9" t="s">
        <v>14</v>
      </c>
      <c r="J5" s="6"/>
      <c r="L5" s="5">
        <v>45877</v>
      </c>
      <c r="M5" s="6" t="s">
        <v>92</v>
      </c>
      <c r="N5" s="7">
        <v>3</v>
      </c>
      <c r="O5" s="8">
        <f>_xlfn.XLOOKUP(Table5761020[[#This Row],[Descripcion]],Parametros!$B$3:$B$12,Parametros!$F$3:$F$12, "NO ENCONTRADO")</f>
        <v>800</v>
      </c>
      <c r="P5" s="8">
        <f t="shared" ref="P5" si="1">N5*O5</f>
        <v>2400</v>
      </c>
      <c r="Q5" s="11" t="str">
        <f>_xlfn.XLOOKUP(Table5761020[[#This Row],[Descripcion]],Parametros!$B$3:$B$12,Parametros!$D$3:$D$12, "NO ENCONTRADO")</f>
        <v>Rodolfo Sanchez</v>
      </c>
      <c r="R5" s="9" t="s">
        <v>106</v>
      </c>
      <c r="S5" s="9" t="s">
        <v>14</v>
      </c>
      <c r="T5" s="6"/>
      <c r="V5" s="5">
        <v>45907</v>
      </c>
      <c r="W5" s="6" t="s">
        <v>92</v>
      </c>
      <c r="X5" s="7">
        <v>4</v>
      </c>
      <c r="Y5" s="8">
        <v>800</v>
      </c>
      <c r="Z5" s="8">
        <f t="shared" ref="Z5" si="2">X5*Y5</f>
        <v>3200</v>
      </c>
      <c r="AA5" s="13" t="str">
        <f>_xlfn.XLOOKUP(Table57610[[#This Row],[Descripcion]],Parametros!$B$3:$B$12,Parametros!$D$3:$D$12, "NO ENCONTRADO")</f>
        <v>Rodolfo Sanchez</v>
      </c>
      <c r="AB5" s="9" t="s">
        <v>106</v>
      </c>
      <c r="AC5" s="9" t="s">
        <v>14</v>
      </c>
      <c r="AD5" s="6"/>
    </row>
    <row r="6" spans="2:30" ht="15.75" thickBot="1" x14ac:dyDescent="0.3">
      <c r="B6" s="5">
        <v>45735</v>
      </c>
      <c r="C6" s="6" t="s">
        <v>99</v>
      </c>
      <c r="D6" s="7">
        <v>2.5880000000000001</v>
      </c>
      <c r="E6" s="8">
        <f>_xlfn.XLOOKUP(Table57618[[#This Row],[Descripcion]],Parametros!$B$3:$B$12,Parametros!$F$3:$F$12, "NO ENCONTRADO")</f>
        <v>587.5</v>
      </c>
      <c r="F6" s="10">
        <f t="shared" si="0"/>
        <v>1520.45</v>
      </c>
      <c r="G6" s="11" t="str">
        <f>_xlfn.XLOOKUP(Table57618[[#This Row],[Descripcion]],Parametros!$B$3:$B$12,Parametros!$D$3:$D$12, "NO ENCONTRADO")</f>
        <v>Rodolfo Sanchez</v>
      </c>
      <c r="H6" s="9" t="s">
        <v>106</v>
      </c>
      <c r="I6" s="9" t="s">
        <v>14</v>
      </c>
      <c r="J6" s="6"/>
      <c r="L6" s="5">
        <v>45877</v>
      </c>
      <c r="M6" s="15" t="s">
        <v>99</v>
      </c>
      <c r="N6" s="16">
        <v>4</v>
      </c>
      <c r="O6" s="17">
        <f>_xlfn.XLOOKUP(Table5761020[[#This Row],[Descripcion]],Parametros!$B$3:$B$12,Parametros!$F$3:$F$12, "NO ENCONTRADO")</f>
        <v>587.5</v>
      </c>
      <c r="P6" s="12">
        <f>N6*O6</f>
        <v>2350</v>
      </c>
      <c r="Q6" s="13" t="str">
        <f>_xlfn.XLOOKUP(Table5761020[[#This Row],[Descripcion]],Parametros!$B$3:$B$12,Parametros!$D$3:$D$12, "NO ENCONTRADO")</f>
        <v>Rodolfo Sanchez</v>
      </c>
      <c r="R6" s="9" t="s">
        <v>106</v>
      </c>
      <c r="S6" s="9" t="s">
        <v>14</v>
      </c>
      <c r="T6" s="97"/>
      <c r="V6" s="5">
        <v>45907</v>
      </c>
      <c r="W6" s="15" t="s">
        <v>99</v>
      </c>
      <c r="X6" s="16">
        <v>4</v>
      </c>
      <c r="Y6" s="17">
        <v>587.5</v>
      </c>
      <c r="Z6" s="12">
        <f>X6*Y6</f>
        <v>2350</v>
      </c>
      <c r="AA6" s="13" t="str">
        <f>_xlfn.XLOOKUP(Table57610[[#This Row],[Descripcion]],Parametros!$B$3:$B$12,Parametros!$D$3:$D$12, "NO ENCONTRADO")</f>
        <v>Rodolfo Sanchez</v>
      </c>
      <c r="AB6" s="9" t="s">
        <v>106</v>
      </c>
      <c r="AC6" s="9" t="s">
        <v>14</v>
      </c>
      <c r="AD6" s="97"/>
    </row>
    <row r="7" spans="2:30" ht="16.5" thickTop="1" thickBot="1" x14ac:dyDescent="0.3">
      <c r="B7" s="5">
        <v>45747</v>
      </c>
      <c r="C7" s="6" t="s">
        <v>99</v>
      </c>
      <c r="D7" s="7">
        <v>8.24</v>
      </c>
      <c r="E7" s="8">
        <f>_xlfn.XLOOKUP(Table57618[[#This Row],[Descripcion]],Parametros!$B$3:$B$12,Parametros!$F$3:$F$12, "NO ENCONTRADO")</f>
        <v>587.5</v>
      </c>
      <c r="F7" s="10">
        <f t="shared" si="0"/>
        <v>4841</v>
      </c>
      <c r="G7" s="11" t="str">
        <f>_xlfn.XLOOKUP(Table57618[[#This Row],[Descripcion]],Parametros!$B$3:$B$12,Parametros!$D$3:$D$12, "NO ENCONTRADO")</f>
        <v>Rodolfo Sanchez</v>
      </c>
      <c r="H7" s="9" t="s">
        <v>106</v>
      </c>
      <c r="I7" s="9" t="s">
        <v>14</v>
      </c>
      <c r="J7" s="6"/>
      <c r="L7" s="14">
        <v>45907</v>
      </c>
      <c r="M7" s="15" t="s">
        <v>99</v>
      </c>
      <c r="N7" s="16">
        <v>6</v>
      </c>
      <c r="O7" s="17">
        <f>_xlfn.XLOOKUP(Table5761020[[#This Row],[Descripcion]],Parametros!$B$3:$B$12,Parametros!$F$3:$F$12, "NO ENCONTRADO")</f>
        <v>587.5</v>
      </c>
      <c r="P7" s="17">
        <f>N7*O7</f>
        <v>3525</v>
      </c>
      <c r="Q7" s="13" t="str">
        <f>_xlfn.XLOOKUP(Table5761020[[#This Row],[Descripcion]],Parametros!$B$3:$B$12,Parametros!$D$3:$D$12, "NO ENCONTRADO")</f>
        <v>Rodolfo Sanchez</v>
      </c>
      <c r="R7" s="9" t="s">
        <v>106</v>
      </c>
      <c r="S7" s="9" t="s">
        <v>14</v>
      </c>
      <c r="T7" s="97"/>
      <c r="V7" s="18"/>
      <c r="W7" s="19"/>
      <c r="X7" s="20"/>
      <c r="Y7" s="21"/>
      <c r="Z7" s="22">
        <f>SUM(Z5:Z6)</f>
        <v>5550</v>
      </c>
      <c r="AA7" s="23"/>
      <c r="AB7" s="24"/>
      <c r="AC7" s="23"/>
      <c r="AD7" s="56"/>
    </row>
    <row r="8" spans="2:30" ht="15.75" thickTop="1" x14ac:dyDescent="0.25">
      <c r="B8" s="14">
        <v>45754</v>
      </c>
      <c r="C8" s="15" t="s">
        <v>100</v>
      </c>
      <c r="D8" s="16">
        <v>6.16</v>
      </c>
      <c r="E8" s="8">
        <f>_xlfn.XLOOKUP(Table57618[[#This Row],[Descripcion]],Parametros!$B$3:$B$12,Parametros!$F$3:$F$12, "NO ENCONTRADO")</f>
        <v>422.5</v>
      </c>
      <c r="F8" s="12">
        <f t="shared" si="0"/>
        <v>2602.6</v>
      </c>
      <c r="G8" s="11" t="str">
        <f>_xlfn.XLOOKUP(Table57618[[#This Row],[Descripcion]],Parametros!$B$3:$B$12,Parametros!$D$3:$D$12, "NO ENCONTRADO")</f>
        <v>Rodolfo Sanchez</v>
      </c>
      <c r="H8" s="9" t="s">
        <v>106</v>
      </c>
      <c r="I8" s="9" t="s">
        <v>14</v>
      </c>
      <c r="J8" s="97"/>
      <c r="L8" s="18"/>
      <c r="M8" s="19"/>
      <c r="N8" s="20"/>
      <c r="O8" s="21"/>
      <c r="P8" s="22">
        <f>SUM(P5:P7)</f>
        <v>8275</v>
      </c>
      <c r="Q8" s="23"/>
      <c r="R8" s="24"/>
      <c r="S8" s="23"/>
      <c r="T8" s="56"/>
    </row>
    <row r="9" spans="2:30" x14ac:dyDescent="0.25">
      <c r="B9" s="14">
        <v>45758</v>
      </c>
      <c r="C9" s="15" t="s">
        <v>100</v>
      </c>
      <c r="D9" s="7">
        <v>3.52</v>
      </c>
      <c r="E9" s="8">
        <f>_xlfn.XLOOKUP(Table57618[[#This Row],[Descripcion]],Parametros!$B$3:$B$12,Parametros!$F$3:$F$12, "NO ENCONTRADO")</f>
        <v>422.5</v>
      </c>
      <c r="F9" s="10">
        <f t="shared" si="0"/>
        <v>1487.2</v>
      </c>
      <c r="G9" s="11" t="str">
        <f>_xlfn.XLOOKUP(Table57618[[#This Row],[Descripcion]],Parametros!$B$3:$B$12,Parametros!$D$3:$D$12, "NO ENCONTRADO")</f>
        <v>Rodolfo Sanchez</v>
      </c>
      <c r="H9" s="9" t="s">
        <v>106</v>
      </c>
      <c r="I9" s="9" t="s">
        <v>14</v>
      </c>
      <c r="J9" s="11"/>
    </row>
    <row r="10" spans="2:30" x14ac:dyDescent="0.25">
      <c r="B10" s="14" t="s">
        <v>107</v>
      </c>
      <c r="C10" s="15" t="s">
        <v>100</v>
      </c>
      <c r="D10" s="7">
        <v>8.68</v>
      </c>
      <c r="E10" s="8">
        <f>_xlfn.XLOOKUP(Table57618[[#This Row],[Descripcion]],Parametros!$B$3:$B$12,Parametros!$F$3:$F$12, "NO ENCONTRADO")</f>
        <v>422.5</v>
      </c>
      <c r="F10" s="10">
        <f t="shared" si="0"/>
        <v>3667.2999999999997</v>
      </c>
      <c r="G10" s="11" t="str">
        <f>_xlfn.XLOOKUP(Table57618[[#This Row],[Descripcion]],Parametros!$B$3:$B$12,Parametros!$D$3:$D$12, "NO ENCONTRADO")</f>
        <v>Rodolfo Sanchez</v>
      </c>
      <c r="H10" s="9" t="s">
        <v>106</v>
      </c>
      <c r="I10" s="9" t="s">
        <v>14</v>
      </c>
      <c r="J10" s="11"/>
    </row>
    <row r="11" spans="2:30" x14ac:dyDescent="0.25">
      <c r="B11" s="14">
        <v>45808</v>
      </c>
      <c r="C11" s="15" t="s">
        <v>100</v>
      </c>
      <c r="D11" s="7">
        <v>6.24</v>
      </c>
      <c r="E11" s="8">
        <f>_xlfn.XLOOKUP(Table57618[[#This Row],[Descripcion]],Parametros!$B$3:$B$12,Parametros!$F$3:$F$12, "NO ENCONTRADO")</f>
        <v>422.5</v>
      </c>
      <c r="F11" s="10">
        <f t="shared" si="0"/>
        <v>2636.4</v>
      </c>
      <c r="G11" s="11" t="str">
        <f>_xlfn.XLOOKUP(Table57618[[#This Row],[Descripcion]],Parametros!$B$3:$B$12,Parametros!$D$3:$D$12, "NO ENCONTRADO")</f>
        <v>Rodolfo Sanchez</v>
      </c>
      <c r="H11" s="9" t="s">
        <v>106</v>
      </c>
      <c r="I11" s="9" t="s">
        <v>14</v>
      </c>
      <c r="J11" s="11"/>
    </row>
    <row r="12" spans="2:30" x14ac:dyDescent="0.25">
      <c r="B12" s="5" t="s">
        <v>109</v>
      </c>
      <c r="C12" s="15" t="s">
        <v>100</v>
      </c>
      <c r="D12" s="7">
        <v>8.4</v>
      </c>
      <c r="E12" s="8">
        <f>_xlfn.XLOOKUP(Table57618[[#This Row],[Descripcion]],Parametros!$B$3:$B$12,Parametros!$F$3:$F$12, "NO ENCONTRADO")</f>
        <v>422.5</v>
      </c>
      <c r="F12" s="10">
        <f t="shared" si="0"/>
        <v>3549</v>
      </c>
      <c r="G12" s="11" t="str">
        <f>_xlfn.XLOOKUP(Table57618[[#This Row],[Descripcion]],Parametros!$B$3:$B$12,Parametros!$D$3:$D$12, "NO ENCONTRADO")</f>
        <v>Rodolfo Sanchez</v>
      </c>
      <c r="H12" s="9" t="s">
        <v>106</v>
      </c>
      <c r="I12" s="9" t="s">
        <v>14</v>
      </c>
      <c r="J12" s="11"/>
    </row>
    <row r="13" spans="2:30" x14ac:dyDescent="0.25">
      <c r="B13" s="5">
        <v>45862</v>
      </c>
      <c r="C13" s="15" t="s">
        <v>100</v>
      </c>
      <c r="D13" s="7">
        <v>7.56</v>
      </c>
      <c r="E13" s="8">
        <f>_xlfn.XLOOKUP(Table57618[[#This Row],[Descripcion]],Parametros!$B$3:$B$12,Parametros!$F$3:$F$12, "NO ENCONTRADO")</f>
        <v>422.5</v>
      </c>
      <c r="F13" s="10">
        <f t="shared" si="0"/>
        <v>3194.1</v>
      </c>
      <c r="G13" s="11" t="str">
        <f>_xlfn.XLOOKUP(Table57618[[#This Row],[Descripcion]],Parametros!$B$3:$B$12,Parametros!$D$3:$D$12, "NO ENCONTRADO")</f>
        <v>Rodolfo Sanchez</v>
      </c>
      <c r="H13" s="9" t="s">
        <v>106</v>
      </c>
      <c r="I13" s="9" t="s">
        <v>14</v>
      </c>
      <c r="J13" s="11"/>
    </row>
    <row r="14" spans="2:30" x14ac:dyDescent="0.25">
      <c r="B14" s="14">
        <v>45877</v>
      </c>
      <c r="C14" s="15" t="s">
        <v>100</v>
      </c>
      <c r="D14" s="16">
        <v>5</v>
      </c>
      <c r="E14" s="17">
        <f>_xlfn.XLOOKUP(Table57618[[#This Row],[Descripcion]],Parametros!$B$3:$B$12,Parametros!$F$3:$F$12, "NO ENCONTRADO")</f>
        <v>422.5</v>
      </c>
      <c r="F14" s="12">
        <f>D14*E14</f>
        <v>2112.5</v>
      </c>
      <c r="G14" s="13" t="str">
        <f>_xlfn.XLOOKUP(Table57618[[#This Row],[Descripcion]],Parametros!$B$3:$B$12,Parametros!$D$3:$D$12, "NO ENCONTRADO")</f>
        <v>Rodolfo Sanchez</v>
      </c>
      <c r="H14" s="9" t="s">
        <v>106</v>
      </c>
      <c r="I14" s="9" t="s">
        <v>14</v>
      </c>
      <c r="J14" s="97"/>
    </row>
    <row r="15" spans="2:30" ht="15.75" thickBot="1" x14ac:dyDescent="0.3">
      <c r="B15" s="14">
        <v>45907</v>
      </c>
      <c r="C15" s="15" t="s">
        <v>101</v>
      </c>
      <c r="D15" s="16">
        <v>15</v>
      </c>
      <c r="E15" s="17">
        <f>_xlfn.XLOOKUP(Table57618[[#This Row],[Descripcion]],Parametros!$B$3:$B$12,Parametros!$F$3:$F$12, "NO ENCONTRADO")</f>
        <v>422.5</v>
      </c>
      <c r="F15" s="12">
        <f>D15*E15</f>
        <v>6337.5</v>
      </c>
      <c r="G15" s="13" t="str">
        <f>_xlfn.XLOOKUP(Table57618[[#This Row],[Descripcion]],Parametros!$B$3:$B$12,Parametros!$D$3:$D$12, "NO ENCONTRADO")</f>
        <v>Rodolfo Sanchez</v>
      </c>
      <c r="H15" s="9" t="s">
        <v>106</v>
      </c>
      <c r="I15" s="9" t="s">
        <v>14</v>
      </c>
      <c r="J15" s="97"/>
    </row>
    <row r="16" spans="2:30" ht="15.75" thickTop="1" x14ac:dyDescent="0.25">
      <c r="B16" s="18"/>
      <c r="C16" s="19"/>
      <c r="D16" s="20"/>
      <c r="E16" s="21"/>
      <c r="F16" s="22">
        <f>SUM(F5:F15)</f>
        <v>39980.050000000003</v>
      </c>
      <c r="G16" s="23"/>
      <c r="H16" s="24"/>
      <c r="I16" s="23"/>
      <c r="J16" s="56"/>
    </row>
    <row r="18" spans="3:28" x14ac:dyDescent="0.25">
      <c r="C18" s="113" t="s">
        <v>34</v>
      </c>
      <c r="D18" s="113"/>
      <c r="F18" s="112" t="s">
        <v>86</v>
      </c>
      <c r="G18" s="112"/>
      <c r="H18" s="112"/>
      <c r="M18" s="113" t="s">
        <v>34</v>
      </c>
      <c r="N18" s="113"/>
      <c r="P18" s="112" t="s">
        <v>86</v>
      </c>
      <c r="Q18" s="112"/>
      <c r="R18" s="112"/>
      <c r="W18" s="113" t="s">
        <v>34</v>
      </c>
      <c r="X18" s="113"/>
      <c r="Z18" s="112" t="s">
        <v>86</v>
      </c>
      <c r="AA18" s="112"/>
      <c r="AB18" s="112"/>
    </row>
    <row r="19" spans="3:28" ht="45" x14ac:dyDescent="0.25">
      <c r="C19" s="86" t="s">
        <v>35</v>
      </c>
      <c r="D19" s="87" t="s">
        <v>36</v>
      </c>
      <c r="F19" s="92" t="s">
        <v>1</v>
      </c>
      <c r="G19" s="53" t="s">
        <v>89</v>
      </c>
      <c r="H19" s="53" t="s">
        <v>108</v>
      </c>
      <c r="M19" s="86" t="s">
        <v>35</v>
      </c>
      <c r="N19" s="87" t="s">
        <v>127</v>
      </c>
      <c r="P19" s="99" t="s">
        <v>1</v>
      </c>
      <c r="Q19" s="100" t="s">
        <v>89</v>
      </c>
      <c r="R19" s="101" t="s">
        <v>108</v>
      </c>
      <c r="W19" s="86" t="s">
        <v>35</v>
      </c>
      <c r="X19" s="87" t="s">
        <v>126</v>
      </c>
      <c r="Z19" s="99" t="s">
        <v>1</v>
      </c>
      <c r="AA19" s="100" t="s">
        <v>89</v>
      </c>
      <c r="AB19" s="101" t="s">
        <v>108</v>
      </c>
    </row>
    <row r="20" spans="3:28" x14ac:dyDescent="0.25">
      <c r="C20" s="25" t="s">
        <v>37</v>
      </c>
      <c r="D20" s="26" t="s">
        <v>90</v>
      </c>
      <c r="F20" s="69">
        <v>45684</v>
      </c>
      <c r="G20" s="35">
        <v>0.6</v>
      </c>
      <c r="H20" s="35">
        <v>0</v>
      </c>
      <c r="M20" s="25" t="s">
        <v>37</v>
      </c>
      <c r="N20" s="26" t="s">
        <v>110</v>
      </c>
      <c r="P20" s="102">
        <v>45843</v>
      </c>
      <c r="Q20" s="103">
        <v>0.7</v>
      </c>
      <c r="R20" s="104">
        <v>0</v>
      </c>
      <c r="W20" s="25" t="s">
        <v>37</v>
      </c>
      <c r="X20" s="26" t="s">
        <v>111</v>
      </c>
      <c r="Z20" s="102">
        <v>45877</v>
      </c>
      <c r="AA20" s="103">
        <v>2</v>
      </c>
      <c r="AB20" s="104">
        <v>0</v>
      </c>
    </row>
    <row r="21" spans="3:28" x14ac:dyDescent="0.25">
      <c r="C21" s="25" t="s">
        <v>38</v>
      </c>
      <c r="D21" s="93">
        <v>18500</v>
      </c>
      <c r="F21" s="69">
        <v>45735</v>
      </c>
      <c r="G21" s="35">
        <v>27</v>
      </c>
      <c r="H21" s="34">
        <f>_xlfn.DAYS(Table4919[[#This Row],[Fecha]],F20)</f>
        <v>51</v>
      </c>
      <c r="M21" s="25" t="s">
        <v>38</v>
      </c>
      <c r="N21" s="93">
        <v>18950</v>
      </c>
      <c r="P21" s="102">
        <v>45874</v>
      </c>
      <c r="Q21" s="103">
        <v>7</v>
      </c>
      <c r="R21" s="104">
        <f>_xlfn.DAYS(P21,P20)</f>
        <v>31</v>
      </c>
      <c r="W21" s="25" t="s">
        <v>38</v>
      </c>
      <c r="X21" s="93">
        <v>17000</v>
      </c>
      <c r="Z21" s="102">
        <v>45895</v>
      </c>
      <c r="AA21" s="103">
        <v>12.15</v>
      </c>
      <c r="AB21" s="104">
        <f>_xlfn.DAYS(Z21,Z20)</f>
        <v>18</v>
      </c>
    </row>
    <row r="22" spans="3:28" x14ac:dyDescent="0.25">
      <c r="C22" s="25" t="s">
        <v>39</v>
      </c>
      <c r="D22" s="28">
        <v>0</v>
      </c>
      <c r="F22" s="69">
        <v>45754</v>
      </c>
      <c r="G22" s="35">
        <v>63</v>
      </c>
      <c r="H22" s="34">
        <f>_xlfn.DAYS(Table4919[[#This Row],[Fecha]],F21)</f>
        <v>19</v>
      </c>
      <c r="M22" s="25" t="s">
        <v>39</v>
      </c>
      <c r="N22" s="28">
        <v>0</v>
      </c>
      <c r="P22" s="102">
        <v>45895</v>
      </c>
      <c r="Q22" s="103">
        <v>27</v>
      </c>
      <c r="R22" s="104">
        <f>_xlfn.DAYS(P22,P21)</f>
        <v>21</v>
      </c>
      <c r="W22" s="25" t="s">
        <v>39</v>
      </c>
      <c r="X22" s="28">
        <v>0</v>
      </c>
      <c r="Z22" s="102">
        <v>45914</v>
      </c>
      <c r="AA22" s="103"/>
      <c r="AB22" s="104">
        <f>_xlfn.DAYS(Z22,Z21)</f>
        <v>19</v>
      </c>
    </row>
    <row r="23" spans="3:28" x14ac:dyDescent="0.25">
      <c r="C23" s="25" t="s">
        <v>40</v>
      </c>
      <c r="D23" s="28">
        <f>Table576[[#Totals],[Precio Total]]</f>
        <v>50965.05</v>
      </c>
      <c r="F23" s="69">
        <v>45778</v>
      </c>
      <c r="G23" s="35">
        <v>83</v>
      </c>
      <c r="H23" s="34">
        <f>_xlfn.DAYS(Table4919[[#This Row],[Fecha]],F22)</f>
        <v>24</v>
      </c>
      <c r="M23" s="25" t="s">
        <v>40</v>
      </c>
      <c r="N23" s="28">
        <f>Table57610[[#Totals],[Precio Total]]</f>
        <v>17622.5</v>
      </c>
      <c r="P23" s="102">
        <v>45914</v>
      </c>
      <c r="Q23" s="103"/>
      <c r="R23" s="104">
        <f>_xlfn.DAYS(P23,P22)</f>
        <v>19</v>
      </c>
      <c r="W23" s="25" t="s">
        <v>40</v>
      </c>
      <c r="X23" s="28">
        <f>Table5761014[[#Totals],[Precio Total]]</f>
        <v>20812.5</v>
      </c>
    </row>
    <row r="24" spans="3:28" x14ac:dyDescent="0.25">
      <c r="C24" s="25" t="s">
        <v>41</v>
      </c>
      <c r="D24" s="28">
        <f>Table576[[#Totals],[Precio Total]]/D26</f>
        <v>10.193010000000001</v>
      </c>
      <c r="F24" s="69">
        <v>45816</v>
      </c>
      <c r="G24" s="35">
        <v>99.4</v>
      </c>
      <c r="H24" s="34">
        <f>_xlfn.DAYS(Table4919[[#This Row],[Fecha]],F23)</f>
        <v>38</v>
      </c>
      <c r="M24" s="25" t="s">
        <v>41</v>
      </c>
      <c r="N24" s="28">
        <f>Table57610[[#Totals],[Precio Total]]/N26</f>
        <v>0.92994722955145115</v>
      </c>
      <c r="W24" s="25" t="s">
        <v>41</v>
      </c>
      <c r="X24" s="28">
        <f>Table5761014[[#Totals],[Precio Total]]/X26</f>
        <v>1.224264705882353</v>
      </c>
    </row>
    <row r="25" spans="3:28" x14ac:dyDescent="0.25">
      <c r="C25" s="25" t="s">
        <v>42</v>
      </c>
      <c r="D25" s="93">
        <v>13500</v>
      </c>
      <c r="F25" s="69">
        <v>45857</v>
      </c>
      <c r="G25" s="35">
        <v>182.4</v>
      </c>
      <c r="H25" s="34">
        <f>_xlfn.DAYS(Table4919[[#This Row],[Fecha]],F24)</f>
        <v>41</v>
      </c>
      <c r="M25" s="25" t="s">
        <v>42</v>
      </c>
      <c r="N25" s="93">
        <v>0</v>
      </c>
      <c r="W25" s="25" t="s">
        <v>42</v>
      </c>
      <c r="X25" s="93">
        <v>0</v>
      </c>
    </row>
    <row r="26" spans="3:28" x14ac:dyDescent="0.25">
      <c r="C26" s="25" t="s">
        <v>43</v>
      </c>
      <c r="D26" s="93">
        <f>D21-D25</f>
        <v>5000</v>
      </c>
      <c r="F26" s="69">
        <v>45874</v>
      </c>
      <c r="G26" s="35">
        <v>237</v>
      </c>
      <c r="H26" s="34">
        <f>_xlfn.DAYS(Table4919[[#This Row],[Fecha]],F25)</f>
        <v>17</v>
      </c>
      <c r="M26" s="25" t="s">
        <v>43</v>
      </c>
      <c r="N26" s="93">
        <f>N21-N25</f>
        <v>18950</v>
      </c>
      <c r="W26" s="25" t="s">
        <v>43</v>
      </c>
      <c r="X26" s="93">
        <f>X21-X25</f>
        <v>17000</v>
      </c>
    </row>
    <row r="27" spans="3:28" x14ac:dyDescent="0.25">
      <c r="C27" s="25" t="s">
        <v>44</v>
      </c>
      <c r="D27" s="29">
        <f>100/D21</f>
        <v>5.4054054054054057E-3</v>
      </c>
      <c r="F27" s="69">
        <v>45882</v>
      </c>
      <c r="G27" s="35">
        <v>282</v>
      </c>
      <c r="H27" s="34">
        <f>_xlfn.DAYS(Table4919[[#This Row],[Fecha]],F26)</f>
        <v>8</v>
      </c>
      <c r="M27" s="25" t="s">
        <v>44</v>
      </c>
      <c r="N27" s="29">
        <f>100/N21</f>
        <v>5.2770448548812663E-3</v>
      </c>
      <c r="W27" s="25" t="s">
        <v>44</v>
      </c>
      <c r="X27" s="29">
        <f>100/X21</f>
        <v>5.8823529411764705E-3</v>
      </c>
    </row>
    <row r="28" spans="3:28" x14ac:dyDescent="0.25">
      <c r="C28" s="25" t="s">
        <v>121</v>
      </c>
      <c r="D28" s="30">
        <f>Table9148[[#Totals],[Fecha]]</f>
        <v>9</v>
      </c>
      <c r="M28" s="25" t="s">
        <v>121</v>
      </c>
      <c r="N28" s="30">
        <f>Table914812[[#Totals],[Fecha]]</f>
        <v>2</v>
      </c>
      <c r="W28" s="25" t="s">
        <v>121</v>
      </c>
      <c r="X28" s="30">
        <f>Table91481216[[#Totals],[Fecha]]</f>
        <v>0</v>
      </c>
    </row>
    <row r="29" spans="3:28" x14ac:dyDescent="0.25">
      <c r="C29" s="25" t="s">
        <v>46</v>
      </c>
      <c r="D29" s="94">
        <f>D26-D28</f>
        <v>4991</v>
      </c>
      <c r="M29" s="25" t="s">
        <v>46</v>
      </c>
      <c r="N29" s="94">
        <f>N26-N28</f>
        <v>18948</v>
      </c>
      <c r="W29" s="25" t="s">
        <v>46</v>
      </c>
      <c r="X29" s="94">
        <f>X26-X28</f>
        <v>17000</v>
      </c>
    </row>
    <row r="30" spans="3:28" x14ac:dyDescent="0.25">
      <c r="C30" s="25" t="s">
        <v>47</v>
      </c>
      <c r="D30" s="32">
        <f>Table9148[[#Totals],[Peso del 
Organismo]]</f>
        <v>636.08999999999992</v>
      </c>
      <c r="M30" s="25" t="s">
        <v>47</v>
      </c>
      <c r="N30" s="32">
        <f>Table914812[[#Totals],[Peso del 
Organismo]]</f>
        <v>261.75</v>
      </c>
      <c r="W30" s="25" t="s">
        <v>47</v>
      </c>
      <c r="X30" s="32">
        <f>Table91481216[[#Totals],[Peso del 
Organismo]]</f>
        <v>0</v>
      </c>
    </row>
    <row r="31" spans="3:28" x14ac:dyDescent="0.25">
      <c r="C31" s="25" t="s">
        <v>48</v>
      </c>
      <c r="D31" s="32">
        <f>D30/D28</f>
        <v>70.676666666666662</v>
      </c>
      <c r="M31" s="25" t="s">
        <v>48</v>
      </c>
      <c r="N31" s="32">
        <f>N30/N28</f>
        <v>130.875</v>
      </c>
      <c r="W31" s="25" t="s">
        <v>48</v>
      </c>
      <c r="X31" s="32" t="e">
        <f>X30/X28</f>
        <v>#DIV/0!</v>
      </c>
    </row>
    <row r="32" spans="3:28" x14ac:dyDescent="0.25">
      <c r="C32" s="25" t="s">
        <v>122</v>
      </c>
      <c r="D32" s="26" t="s">
        <v>123</v>
      </c>
      <c r="M32" s="25" t="s">
        <v>122</v>
      </c>
      <c r="N32" s="26" t="s">
        <v>123</v>
      </c>
      <c r="W32" s="25" t="s">
        <v>122</v>
      </c>
      <c r="X32" s="26" t="s">
        <v>123</v>
      </c>
    </row>
    <row r="33" spans="3:24" x14ac:dyDescent="0.25">
      <c r="C33" s="33" t="s">
        <v>51</v>
      </c>
      <c r="D33" s="30">
        <f>D32-D20</f>
        <v>229</v>
      </c>
      <c r="M33" s="33" t="s">
        <v>51</v>
      </c>
      <c r="N33" s="30">
        <f>N32-N20</f>
        <v>70</v>
      </c>
      <c r="W33" s="33" t="s">
        <v>51</v>
      </c>
      <c r="X33" s="30">
        <f>X32-X20</f>
        <v>36</v>
      </c>
    </row>
  </sheetData>
  <mergeCells count="12">
    <mergeCell ref="V3:AD3"/>
    <mergeCell ref="V2:AD2"/>
    <mergeCell ref="W18:X18"/>
    <mergeCell ref="Z18:AB18"/>
    <mergeCell ref="B3:J3"/>
    <mergeCell ref="B2:J2"/>
    <mergeCell ref="C18:D18"/>
    <mergeCell ref="F18:H18"/>
    <mergeCell ref="L3:T3"/>
    <mergeCell ref="L2:T2"/>
    <mergeCell ref="M18:N18"/>
    <mergeCell ref="P18:R18"/>
  </mergeCells>
  <pageMargins left="0.7" right="0.7" top="0.75" bottom="0.75" header="0.3" footer="0.3"/>
  <pageSetup paperSize="9" scale="66" orientation="portrait" horizontalDpi="0" verticalDpi="0" r:id="rId1"/>
  <drawing r:id="rId2"/>
  <tableParts count="4"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60C1-BC20-405B-A214-F2B76F9FD19F}">
  <dimension ref="B2:S183"/>
  <sheetViews>
    <sheetView workbookViewId="0">
      <selection activeCell="K17" sqref="K17"/>
    </sheetView>
  </sheetViews>
  <sheetFormatPr defaultRowHeight="15" x14ac:dyDescent="0.25"/>
  <cols>
    <col min="1" max="1" width="1.7109375" customWidth="1"/>
    <col min="2" max="2" width="7.140625" customWidth="1"/>
    <col min="3" max="4" width="13.7109375" style="34" customWidth="1"/>
    <col min="5" max="5" width="13.7109375" customWidth="1"/>
    <col min="6" max="6" width="12.7109375" customWidth="1"/>
    <col min="16" max="16" width="11.5703125" customWidth="1"/>
    <col min="17" max="17" width="16.7109375" bestFit="1" customWidth="1"/>
    <col min="18" max="18" width="12" customWidth="1"/>
    <col min="19" max="19" width="9.140625" style="108"/>
  </cols>
  <sheetData>
    <row r="2" spans="2:19" ht="30" x14ac:dyDescent="0.25">
      <c r="B2" s="35" t="s">
        <v>129</v>
      </c>
      <c r="C2" s="105" t="s">
        <v>131</v>
      </c>
      <c r="D2" s="105" t="s">
        <v>130</v>
      </c>
      <c r="E2" s="105" t="s">
        <v>132</v>
      </c>
      <c r="F2" s="105" t="s">
        <v>134</v>
      </c>
      <c r="R2" s="36" t="s">
        <v>141</v>
      </c>
    </row>
    <row r="3" spans="2:19" x14ac:dyDescent="0.25">
      <c r="B3" s="34">
        <v>1</v>
      </c>
      <c r="C3" s="106">
        <v>18500</v>
      </c>
      <c r="D3" s="106">
        <v>100</v>
      </c>
      <c r="E3" s="106">
        <v>0</v>
      </c>
      <c r="F3" s="106">
        <v>350</v>
      </c>
      <c r="P3" s="42">
        <v>1</v>
      </c>
      <c r="Q3" s="107" t="s">
        <v>136</v>
      </c>
      <c r="R3" s="42">
        <f>(18500*P3)/1000</f>
        <v>18.5</v>
      </c>
      <c r="S3" s="109">
        <v>0.1</v>
      </c>
    </row>
    <row r="4" spans="2:19" x14ac:dyDescent="0.25">
      <c r="B4" s="34">
        <v>2</v>
      </c>
      <c r="D4" s="106">
        <v>100</v>
      </c>
      <c r="E4" s="106">
        <v>0</v>
      </c>
      <c r="F4" s="106">
        <v>350</v>
      </c>
      <c r="P4" s="42">
        <f>P3+0.571428571428571</f>
        <v>1.571428571428571</v>
      </c>
      <c r="Q4" s="107" t="s">
        <v>136</v>
      </c>
      <c r="R4" s="42">
        <f t="shared" ref="R4:R31" si="0">(18500*P4)/1000</f>
        <v>29.071428571428562</v>
      </c>
      <c r="S4" s="109">
        <v>0.1</v>
      </c>
    </row>
    <row r="5" spans="2:19" x14ac:dyDescent="0.25">
      <c r="B5" s="34">
        <v>3</v>
      </c>
      <c r="D5" s="106">
        <v>100</v>
      </c>
      <c r="E5" s="106">
        <v>0</v>
      </c>
      <c r="F5" s="106">
        <v>350</v>
      </c>
      <c r="P5" s="42">
        <f t="shared" ref="P5:P10" si="1">P4+0.571428571428571</f>
        <v>2.1428571428571419</v>
      </c>
      <c r="Q5" s="107" t="s">
        <v>136</v>
      </c>
      <c r="R5" s="42">
        <f t="shared" si="0"/>
        <v>39.642857142857125</v>
      </c>
      <c r="S5" s="109">
        <v>0.1</v>
      </c>
    </row>
    <row r="6" spans="2:19" x14ac:dyDescent="0.25">
      <c r="B6" s="34">
        <v>4</v>
      </c>
      <c r="D6" s="106">
        <v>100</v>
      </c>
      <c r="E6" s="106">
        <v>0</v>
      </c>
      <c r="F6" s="106">
        <v>350</v>
      </c>
      <c r="P6" s="42">
        <f t="shared" si="1"/>
        <v>2.7142857142857126</v>
      </c>
      <c r="Q6" s="107" t="s">
        <v>136</v>
      </c>
      <c r="R6" s="42">
        <f t="shared" si="0"/>
        <v>50.21428571428568</v>
      </c>
      <c r="S6" s="109">
        <v>0.1</v>
      </c>
    </row>
    <row r="7" spans="2:19" x14ac:dyDescent="0.25">
      <c r="B7" s="34">
        <v>5</v>
      </c>
      <c r="D7" s="106">
        <v>100</v>
      </c>
      <c r="E7" s="106">
        <v>0</v>
      </c>
      <c r="F7" s="106">
        <v>350</v>
      </c>
      <c r="P7" s="42">
        <f t="shared" si="1"/>
        <v>3.2857142857142838</v>
      </c>
      <c r="Q7" s="107" t="s">
        <v>136</v>
      </c>
      <c r="R7" s="42">
        <f t="shared" si="0"/>
        <v>60.785714285714256</v>
      </c>
      <c r="S7" s="109">
        <v>0.1</v>
      </c>
    </row>
    <row r="8" spans="2:19" x14ac:dyDescent="0.25">
      <c r="B8" s="34">
        <v>6</v>
      </c>
      <c r="D8" s="106">
        <v>100</v>
      </c>
      <c r="E8" s="106">
        <v>0</v>
      </c>
      <c r="F8" s="106">
        <v>350</v>
      </c>
      <c r="P8" s="42">
        <f t="shared" si="1"/>
        <v>3.857142857142855</v>
      </c>
      <c r="Q8" s="107" t="s">
        <v>136</v>
      </c>
      <c r="R8" s="42">
        <f t="shared" si="0"/>
        <v>71.357142857142804</v>
      </c>
      <c r="S8" s="109">
        <v>0.1</v>
      </c>
    </row>
    <row r="9" spans="2:19" x14ac:dyDescent="0.25">
      <c r="B9" s="34">
        <v>7</v>
      </c>
      <c r="D9" s="106">
        <v>100</v>
      </c>
      <c r="E9" s="106">
        <v>0</v>
      </c>
      <c r="F9" s="106">
        <v>350</v>
      </c>
      <c r="P9" s="42">
        <f t="shared" si="1"/>
        <v>4.4285714285714262</v>
      </c>
      <c r="Q9" s="107" t="s">
        <v>136</v>
      </c>
      <c r="R9" s="42">
        <f t="shared" si="0"/>
        <v>81.928571428571388</v>
      </c>
      <c r="S9" s="109">
        <v>0.1</v>
      </c>
    </row>
    <row r="10" spans="2:19" x14ac:dyDescent="0.25">
      <c r="B10" s="34">
        <v>8</v>
      </c>
      <c r="D10" s="106">
        <v>100</v>
      </c>
      <c r="E10" s="106">
        <v>0</v>
      </c>
      <c r="F10" s="106">
        <v>350</v>
      </c>
      <c r="P10" s="42">
        <f t="shared" si="1"/>
        <v>4.9999999999999973</v>
      </c>
      <c r="Q10" s="107" t="s">
        <v>136</v>
      </c>
      <c r="R10" s="42">
        <f t="shared" si="0"/>
        <v>92.499999999999957</v>
      </c>
      <c r="S10" s="109">
        <v>0.09</v>
      </c>
    </row>
    <row r="11" spans="2:19" x14ac:dyDescent="0.25">
      <c r="B11" s="34">
        <v>9</v>
      </c>
      <c r="D11" s="106">
        <v>100</v>
      </c>
      <c r="E11" s="106">
        <v>0</v>
      </c>
      <c r="F11" s="106">
        <v>350</v>
      </c>
      <c r="P11" s="42">
        <f>P10+0.714285714285714</f>
        <v>5.7142857142857117</v>
      </c>
      <c r="Q11" s="107" t="s">
        <v>136</v>
      </c>
      <c r="R11" s="42">
        <f t="shared" si="0"/>
        <v>105.71428571428567</v>
      </c>
      <c r="S11" s="109">
        <v>0.09</v>
      </c>
    </row>
    <row r="12" spans="2:19" x14ac:dyDescent="0.25">
      <c r="B12" s="34">
        <v>10</v>
      </c>
      <c r="D12" s="106">
        <v>100</v>
      </c>
      <c r="E12" s="106">
        <v>0</v>
      </c>
      <c r="F12" s="106">
        <v>350</v>
      </c>
      <c r="P12" s="42">
        <f t="shared" ref="P12:P31" si="2">P11+0.714285714285714</f>
        <v>6.4285714285714253</v>
      </c>
      <c r="Q12" s="107" t="s">
        <v>136</v>
      </c>
      <c r="R12" s="42">
        <f t="shared" si="0"/>
        <v>118.92857142857136</v>
      </c>
      <c r="S12" s="109">
        <v>0.09</v>
      </c>
    </row>
    <row r="13" spans="2:19" x14ac:dyDescent="0.25">
      <c r="B13" s="34">
        <v>11</v>
      </c>
      <c r="D13" s="106">
        <v>100</v>
      </c>
      <c r="E13" s="106">
        <v>0</v>
      </c>
      <c r="F13" s="106">
        <v>350</v>
      </c>
      <c r="P13" s="42">
        <f t="shared" si="2"/>
        <v>7.1428571428571388</v>
      </c>
      <c r="Q13" s="107" t="s">
        <v>136</v>
      </c>
      <c r="R13" s="42">
        <f t="shared" si="0"/>
        <v>132.14285714285708</v>
      </c>
      <c r="S13" s="109">
        <v>0.09</v>
      </c>
    </row>
    <row r="14" spans="2:19" x14ac:dyDescent="0.25">
      <c r="B14" s="34">
        <v>12</v>
      </c>
      <c r="D14" s="106">
        <v>100</v>
      </c>
      <c r="E14" s="106">
        <v>0</v>
      </c>
      <c r="F14" s="106">
        <v>350</v>
      </c>
      <c r="P14" s="42">
        <f t="shared" si="2"/>
        <v>7.8571428571428523</v>
      </c>
      <c r="Q14" s="107" t="s">
        <v>136</v>
      </c>
      <c r="R14" s="42">
        <f t="shared" si="0"/>
        <v>145.35714285714278</v>
      </c>
      <c r="S14" s="109">
        <v>0.09</v>
      </c>
    </row>
    <row r="15" spans="2:19" x14ac:dyDescent="0.25">
      <c r="B15" s="34">
        <v>13</v>
      </c>
      <c r="D15" s="106">
        <v>100</v>
      </c>
      <c r="E15" s="106">
        <v>0</v>
      </c>
      <c r="F15" s="106">
        <v>350</v>
      </c>
      <c r="P15" s="42">
        <f t="shared" si="2"/>
        <v>8.5714285714285658</v>
      </c>
      <c r="Q15" s="107" t="s">
        <v>136</v>
      </c>
      <c r="R15" s="42">
        <f t="shared" si="0"/>
        <v>158.57142857142847</v>
      </c>
      <c r="S15" s="109">
        <v>0.08</v>
      </c>
    </row>
    <row r="16" spans="2:19" x14ac:dyDescent="0.25">
      <c r="B16" s="34">
        <v>14</v>
      </c>
      <c r="D16" s="106">
        <v>100</v>
      </c>
      <c r="E16" s="106">
        <v>0</v>
      </c>
      <c r="F16" s="106">
        <v>350</v>
      </c>
      <c r="P16" s="42">
        <f t="shared" si="2"/>
        <v>9.2857142857142794</v>
      </c>
      <c r="Q16" s="107" t="s">
        <v>136</v>
      </c>
      <c r="R16" s="42">
        <f>(18500*P16)/1000</f>
        <v>171.78571428571416</v>
      </c>
      <c r="S16" s="109">
        <v>0.08</v>
      </c>
    </row>
    <row r="17" spans="2:19" x14ac:dyDescent="0.25">
      <c r="B17" s="34">
        <v>15</v>
      </c>
      <c r="D17" s="106">
        <v>100</v>
      </c>
      <c r="E17" s="106">
        <v>0</v>
      </c>
      <c r="F17" s="106">
        <v>350</v>
      </c>
      <c r="P17" s="42">
        <f t="shared" si="2"/>
        <v>9.9999999999999929</v>
      </c>
      <c r="Q17" s="107" t="s">
        <v>137</v>
      </c>
      <c r="R17" s="42">
        <f t="shared" si="0"/>
        <v>184.99999999999986</v>
      </c>
      <c r="S17" s="109">
        <v>0.08</v>
      </c>
    </row>
    <row r="18" spans="2:19" x14ac:dyDescent="0.25">
      <c r="B18" s="34">
        <v>16</v>
      </c>
      <c r="D18" s="106">
        <v>100</v>
      </c>
      <c r="E18" s="106">
        <v>0</v>
      </c>
      <c r="F18" s="106">
        <v>350</v>
      </c>
      <c r="P18" s="42">
        <f t="shared" si="2"/>
        <v>10.714285714285706</v>
      </c>
      <c r="Q18" s="107" t="s">
        <v>137</v>
      </c>
      <c r="R18" s="42">
        <f t="shared" si="0"/>
        <v>198.21428571428555</v>
      </c>
      <c r="S18" s="109">
        <v>0.08</v>
      </c>
    </row>
    <row r="19" spans="2:19" x14ac:dyDescent="0.25">
      <c r="B19" s="34">
        <v>17</v>
      </c>
      <c r="D19" s="106">
        <v>100</v>
      </c>
      <c r="E19" s="106">
        <v>0</v>
      </c>
      <c r="F19" s="106">
        <v>350</v>
      </c>
      <c r="P19" s="42">
        <f t="shared" si="2"/>
        <v>11.42857142857142</v>
      </c>
      <c r="Q19" s="107" t="s">
        <v>137</v>
      </c>
      <c r="R19" s="42">
        <f t="shared" si="0"/>
        <v>211.42857142857127</v>
      </c>
      <c r="S19" s="109">
        <v>0.08</v>
      </c>
    </row>
    <row r="20" spans="2:19" x14ac:dyDescent="0.25">
      <c r="B20" s="34">
        <v>18</v>
      </c>
      <c r="D20" s="106">
        <v>100</v>
      </c>
      <c r="E20" s="106">
        <v>0</v>
      </c>
      <c r="F20" s="106">
        <v>350</v>
      </c>
      <c r="P20" s="42">
        <f t="shared" si="2"/>
        <v>12.142857142857133</v>
      </c>
      <c r="Q20" s="107" t="s">
        <v>137</v>
      </c>
      <c r="R20" s="42">
        <f t="shared" si="0"/>
        <v>224.64285714285697</v>
      </c>
      <c r="S20" s="109">
        <v>0.08</v>
      </c>
    </row>
    <row r="21" spans="2:19" x14ac:dyDescent="0.25">
      <c r="B21" s="34">
        <v>19</v>
      </c>
      <c r="D21" s="106">
        <v>100</v>
      </c>
      <c r="E21" s="106">
        <v>0</v>
      </c>
      <c r="F21" s="106">
        <v>350</v>
      </c>
      <c r="P21" s="42">
        <f t="shared" si="2"/>
        <v>12.857142857142847</v>
      </c>
      <c r="Q21" s="107" t="s">
        <v>137</v>
      </c>
      <c r="R21" s="42">
        <f t="shared" si="0"/>
        <v>237.85714285714266</v>
      </c>
      <c r="S21" s="109">
        <v>0.08</v>
      </c>
    </row>
    <row r="22" spans="2:19" x14ac:dyDescent="0.25">
      <c r="B22" s="34">
        <v>20</v>
      </c>
      <c r="D22" s="106">
        <v>100</v>
      </c>
      <c r="E22" s="106">
        <v>0</v>
      </c>
      <c r="F22" s="106">
        <v>350</v>
      </c>
      <c r="P22" s="42">
        <f t="shared" si="2"/>
        <v>13.571428571428561</v>
      </c>
      <c r="Q22" s="107" t="s">
        <v>137</v>
      </c>
      <c r="R22" s="42">
        <f t="shared" si="0"/>
        <v>251.07142857142838</v>
      </c>
      <c r="S22" s="109">
        <v>0.08</v>
      </c>
    </row>
    <row r="23" spans="2:19" x14ac:dyDescent="0.25">
      <c r="B23" s="34">
        <v>21</v>
      </c>
      <c r="D23" s="106">
        <v>100</v>
      </c>
      <c r="E23" s="106">
        <v>0</v>
      </c>
      <c r="F23" s="106">
        <v>350</v>
      </c>
      <c r="P23" s="42">
        <f t="shared" si="2"/>
        <v>14.285714285714274</v>
      </c>
      <c r="Q23" s="107" t="s">
        <v>137</v>
      </c>
      <c r="R23" s="42">
        <f t="shared" si="0"/>
        <v>264.28571428571411</v>
      </c>
      <c r="S23" s="109">
        <v>0.08</v>
      </c>
    </row>
    <row r="24" spans="2:19" x14ac:dyDescent="0.25">
      <c r="B24" s="34">
        <v>22</v>
      </c>
      <c r="D24" s="106">
        <v>100</v>
      </c>
      <c r="E24" s="106">
        <v>0</v>
      </c>
      <c r="F24" s="106">
        <v>350</v>
      </c>
      <c r="P24" s="42">
        <f t="shared" si="2"/>
        <v>14.999999999999988</v>
      </c>
      <c r="Q24" s="107" t="s">
        <v>137</v>
      </c>
      <c r="R24" s="42">
        <f t="shared" si="0"/>
        <v>277.49999999999977</v>
      </c>
      <c r="S24" s="109">
        <v>0.08</v>
      </c>
    </row>
    <row r="25" spans="2:19" x14ac:dyDescent="0.25">
      <c r="B25" s="34">
        <v>23</v>
      </c>
      <c r="D25" s="106">
        <v>100</v>
      </c>
      <c r="E25" s="106">
        <v>0</v>
      </c>
      <c r="F25" s="106">
        <v>350</v>
      </c>
      <c r="P25" s="42">
        <f t="shared" si="2"/>
        <v>15.714285714285701</v>
      </c>
      <c r="Q25" s="107" t="s">
        <v>137</v>
      </c>
      <c r="R25" s="42">
        <f t="shared" si="0"/>
        <v>290.71428571428544</v>
      </c>
      <c r="S25" s="109">
        <v>0.08</v>
      </c>
    </row>
    <row r="26" spans="2:19" x14ac:dyDescent="0.25">
      <c r="B26" s="34">
        <v>24</v>
      </c>
      <c r="D26" s="106">
        <v>100</v>
      </c>
      <c r="E26" s="106">
        <v>0</v>
      </c>
      <c r="F26" s="106">
        <v>350</v>
      </c>
      <c r="P26" s="42">
        <f t="shared" si="2"/>
        <v>16.428571428571416</v>
      </c>
      <c r="Q26" s="107" t="s">
        <v>137</v>
      </c>
      <c r="R26" s="42">
        <f t="shared" si="0"/>
        <v>303.92857142857116</v>
      </c>
      <c r="S26" s="109">
        <v>0.08</v>
      </c>
    </row>
    <row r="27" spans="2:19" x14ac:dyDescent="0.25">
      <c r="B27" s="34">
        <v>25</v>
      </c>
      <c r="D27" s="106">
        <v>100</v>
      </c>
      <c r="E27" s="106">
        <v>0</v>
      </c>
      <c r="F27" s="106">
        <v>350</v>
      </c>
      <c r="P27" s="42">
        <f t="shared" si="2"/>
        <v>17.142857142857132</v>
      </c>
      <c r="Q27" s="107" t="s">
        <v>137</v>
      </c>
      <c r="R27" s="42">
        <f t="shared" si="0"/>
        <v>317.14285714285694</v>
      </c>
      <c r="S27" s="109">
        <v>0.08</v>
      </c>
    </row>
    <row r="28" spans="2:19" x14ac:dyDescent="0.25">
      <c r="B28" s="34">
        <v>26</v>
      </c>
      <c r="D28" s="106">
        <v>100</v>
      </c>
      <c r="E28" s="106">
        <v>0</v>
      </c>
      <c r="F28" s="106">
        <v>350</v>
      </c>
      <c r="P28" s="42">
        <f t="shared" si="2"/>
        <v>17.857142857142847</v>
      </c>
      <c r="Q28" s="107" t="s">
        <v>137</v>
      </c>
      <c r="R28" s="42">
        <f t="shared" si="0"/>
        <v>330.35714285714266</v>
      </c>
      <c r="S28" s="109">
        <v>0.08</v>
      </c>
    </row>
    <row r="29" spans="2:19" x14ac:dyDescent="0.25">
      <c r="B29" s="34">
        <v>27</v>
      </c>
      <c r="D29" s="106">
        <v>100</v>
      </c>
      <c r="E29" s="106">
        <v>0</v>
      </c>
      <c r="F29" s="106">
        <v>350</v>
      </c>
      <c r="P29" s="42">
        <f t="shared" si="2"/>
        <v>18.571428571428562</v>
      </c>
      <c r="Q29" s="107" t="s">
        <v>137</v>
      </c>
      <c r="R29" s="42">
        <f t="shared" si="0"/>
        <v>343.57142857142838</v>
      </c>
      <c r="S29" s="109">
        <v>0.08</v>
      </c>
    </row>
    <row r="30" spans="2:19" x14ac:dyDescent="0.25">
      <c r="B30" s="34">
        <v>28</v>
      </c>
      <c r="D30" s="106">
        <v>100</v>
      </c>
      <c r="E30" s="106">
        <v>0</v>
      </c>
      <c r="F30" s="106">
        <v>350</v>
      </c>
      <c r="P30" s="42">
        <f t="shared" si="2"/>
        <v>19.285714285714278</v>
      </c>
      <c r="Q30" s="107" t="s">
        <v>137</v>
      </c>
      <c r="R30" s="42">
        <f t="shared" si="0"/>
        <v>356.78571428571416</v>
      </c>
      <c r="S30" s="109">
        <v>0.08</v>
      </c>
    </row>
    <row r="31" spans="2:19" x14ac:dyDescent="0.25">
      <c r="B31" s="34">
        <v>29</v>
      </c>
      <c r="D31" s="106">
        <v>100</v>
      </c>
      <c r="E31" s="106">
        <v>0</v>
      </c>
      <c r="F31" s="106">
        <v>350</v>
      </c>
      <c r="P31" s="42">
        <f t="shared" si="2"/>
        <v>19.999999999999993</v>
      </c>
      <c r="Q31" s="107" t="s">
        <v>138</v>
      </c>
      <c r="R31" s="42">
        <f t="shared" si="0"/>
        <v>369.99999999999989</v>
      </c>
      <c r="S31" s="109">
        <v>0.08</v>
      </c>
    </row>
    <row r="32" spans="2:19" x14ac:dyDescent="0.25">
      <c r="B32" s="34">
        <v>30</v>
      </c>
      <c r="D32" s="106">
        <v>100</v>
      </c>
      <c r="E32" s="106">
        <v>0</v>
      </c>
      <c r="F32" s="106">
        <v>350</v>
      </c>
      <c r="P32" s="42">
        <f>P31+1.42857142857142</f>
        <v>21.428571428571413</v>
      </c>
      <c r="Q32" s="107" t="s">
        <v>138</v>
      </c>
      <c r="R32" s="42">
        <f>(18000*P32)/1000</f>
        <v>385.71428571428544</v>
      </c>
      <c r="S32" s="109">
        <v>0.08</v>
      </c>
    </row>
    <row r="33" spans="2:19" x14ac:dyDescent="0.25">
      <c r="B33" s="34">
        <v>31</v>
      </c>
      <c r="D33" s="106">
        <v>100</v>
      </c>
      <c r="E33" s="106">
        <v>0</v>
      </c>
      <c r="F33" s="106">
        <v>350</v>
      </c>
      <c r="P33" s="42">
        <f t="shared" ref="P33:P38" si="3">P32+1.42857142857142</f>
        <v>22.857142857142833</v>
      </c>
      <c r="Q33" s="107" t="s">
        <v>138</v>
      </c>
      <c r="R33" s="42">
        <f t="shared" ref="R33:R61" si="4">(18000*P33)/1000</f>
        <v>411.42857142857099</v>
      </c>
      <c r="S33" s="109">
        <v>0.08</v>
      </c>
    </row>
    <row r="34" spans="2:19" x14ac:dyDescent="0.25">
      <c r="B34" s="34">
        <v>32</v>
      </c>
      <c r="D34" s="106">
        <v>100</v>
      </c>
      <c r="E34" s="106">
        <v>0</v>
      </c>
      <c r="F34" s="106">
        <v>350</v>
      </c>
      <c r="P34" s="42">
        <f t="shared" si="3"/>
        <v>24.285714285714253</v>
      </c>
      <c r="Q34" s="107" t="s">
        <v>138</v>
      </c>
      <c r="R34" s="42">
        <f t="shared" si="4"/>
        <v>437.1428571428566</v>
      </c>
      <c r="S34" s="109">
        <v>0.08</v>
      </c>
    </row>
    <row r="35" spans="2:19" x14ac:dyDescent="0.25">
      <c r="B35" s="34">
        <v>33</v>
      </c>
      <c r="D35" s="106">
        <v>100</v>
      </c>
      <c r="E35" s="106">
        <v>0</v>
      </c>
      <c r="F35" s="106">
        <v>350</v>
      </c>
      <c r="P35" s="42">
        <f t="shared" si="3"/>
        <v>25.714285714285673</v>
      </c>
      <c r="Q35" s="107" t="s">
        <v>138</v>
      </c>
      <c r="R35" s="42">
        <f t="shared" si="4"/>
        <v>462.85714285714209</v>
      </c>
      <c r="S35" s="109">
        <v>0.08</v>
      </c>
    </row>
    <row r="36" spans="2:19" x14ac:dyDescent="0.25">
      <c r="B36" s="34">
        <v>34</v>
      </c>
      <c r="D36" s="106">
        <v>100</v>
      </c>
      <c r="E36" s="106">
        <v>0</v>
      </c>
      <c r="F36" s="106">
        <v>350</v>
      </c>
      <c r="P36" s="42">
        <f t="shared" si="3"/>
        <v>27.142857142857093</v>
      </c>
      <c r="Q36" s="107" t="s">
        <v>138</v>
      </c>
      <c r="R36" s="42">
        <f t="shared" si="4"/>
        <v>488.57142857142765</v>
      </c>
      <c r="S36" s="109">
        <v>0.08</v>
      </c>
    </row>
    <row r="37" spans="2:19" x14ac:dyDescent="0.25">
      <c r="B37" s="34">
        <v>35</v>
      </c>
      <c r="D37" s="106">
        <v>100</v>
      </c>
      <c r="E37" s="106">
        <v>0</v>
      </c>
      <c r="F37" s="106">
        <v>350</v>
      </c>
      <c r="P37" s="42">
        <f t="shared" si="3"/>
        <v>28.571428571428513</v>
      </c>
      <c r="Q37" s="107" t="s">
        <v>138</v>
      </c>
      <c r="R37" s="42">
        <f t="shared" si="4"/>
        <v>514.2857142857132</v>
      </c>
      <c r="S37" s="109">
        <v>0.08</v>
      </c>
    </row>
    <row r="38" spans="2:19" x14ac:dyDescent="0.25">
      <c r="B38" s="34">
        <v>36</v>
      </c>
      <c r="D38" s="106">
        <v>100</v>
      </c>
      <c r="E38" s="106">
        <v>0</v>
      </c>
      <c r="F38" s="106">
        <v>350</v>
      </c>
      <c r="P38" s="42">
        <f t="shared" si="3"/>
        <v>29.999999999999932</v>
      </c>
      <c r="Q38" s="107" t="s">
        <v>138</v>
      </c>
      <c r="R38" s="42">
        <f t="shared" si="4"/>
        <v>539.99999999999886</v>
      </c>
      <c r="S38" s="109">
        <v>0.08</v>
      </c>
    </row>
    <row r="39" spans="2:19" x14ac:dyDescent="0.25">
      <c r="B39" s="34">
        <v>37</v>
      </c>
      <c r="D39" s="106">
        <v>100</v>
      </c>
      <c r="E39" s="106">
        <v>0</v>
      </c>
      <c r="F39" s="106">
        <v>350</v>
      </c>
      <c r="P39" s="42">
        <f>P38+3.57142857142857</f>
        <v>33.571428571428505</v>
      </c>
      <c r="Q39" s="107" t="s">
        <v>138</v>
      </c>
      <c r="R39" s="42">
        <f t="shared" si="4"/>
        <v>604.2857142857132</v>
      </c>
      <c r="S39" s="109">
        <v>7.0000000000000007E-2</v>
      </c>
    </row>
    <row r="40" spans="2:19" x14ac:dyDescent="0.25">
      <c r="B40" s="34">
        <v>38</v>
      </c>
      <c r="D40" s="106">
        <v>100</v>
      </c>
      <c r="E40" s="106">
        <v>0</v>
      </c>
      <c r="F40" s="106">
        <v>350</v>
      </c>
      <c r="P40" s="42">
        <f t="shared" ref="P40:P80" si="5">P39+3.57142857142857</f>
        <v>37.142857142857075</v>
      </c>
      <c r="Q40" s="107" t="s">
        <v>138</v>
      </c>
      <c r="R40" s="42">
        <f t="shared" si="4"/>
        <v>668.5714285714273</v>
      </c>
      <c r="S40" s="109">
        <v>7.0000000000000007E-2</v>
      </c>
    </row>
    <row r="41" spans="2:19" x14ac:dyDescent="0.25">
      <c r="B41" s="34">
        <v>39</v>
      </c>
      <c r="D41" s="106">
        <v>100</v>
      </c>
      <c r="E41" s="106">
        <v>0</v>
      </c>
      <c r="F41" s="106">
        <v>350</v>
      </c>
      <c r="P41" s="42">
        <f t="shared" si="5"/>
        <v>40.714285714285644</v>
      </c>
      <c r="Q41" s="107" t="s">
        <v>138</v>
      </c>
      <c r="R41" s="42">
        <f t="shared" si="4"/>
        <v>732.85714285714153</v>
      </c>
      <c r="S41" s="109">
        <v>7.0000000000000007E-2</v>
      </c>
    </row>
    <row r="42" spans="2:19" x14ac:dyDescent="0.25">
      <c r="B42" s="34">
        <v>40</v>
      </c>
      <c r="D42" s="106">
        <v>100</v>
      </c>
      <c r="E42" s="106">
        <v>0</v>
      </c>
      <c r="F42" s="106">
        <v>350</v>
      </c>
      <c r="P42" s="42">
        <f t="shared" si="5"/>
        <v>44.285714285714214</v>
      </c>
      <c r="Q42" s="107" t="s">
        <v>138</v>
      </c>
      <c r="R42" s="42">
        <f t="shared" si="4"/>
        <v>797.14285714285586</v>
      </c>
      <c r="S42" s="109">
        <v>7.0000000000000007E-2</v>
      </c>
    </row>
    <row r="43" spans="2:19" x14ac:dyDescent="0.25">
      <c r="B43" s="34">
        <v>41</v>
      </c>
      <c r="D43" s="106">
        <v>100</v>
      </c>
      <c r="E43" s="106">
        <v>0</v>
      </c>
      <c r="F43" s="106">
        <v>350</v>
      </c>
      <c r="P43" s="42">
        <f t="shared" si="5"/>
        <v>47.857142857142783</v>
      </c>
      <c r="Q43" s="107" t="s">
        <v>138</v>
      </c>
      <c r="R43" s="42">
        <f t="shared" si="4"/>
        <v>861.42857142857008</v>
      </c>
      <c r="S43" s="109">
        <v>7.0000000000000007E-2</v>
      </c>
    </row>
    <row r="44" spans="2:19" x14ac:dyDescent="0.25">
      <c r="B44" s="34">
        <v>42</v>
      </c>
      <c r="D44" s="106">
        <v>100</v>
      </c>
      <c r="E44" s="106">
        <v>0</v>
      </c>
      <c r="F44" s="106">
        <v>350</v>
      </c>
      <c r="P44" s="42">
        <f t="shared" si="5"/>
        <v>51.428571428571352</v>
      </c>
      <c r="Q44" s="107" t="s">
        <v>138</v>
      </c>
      <c r="R44" s="42">
        <f t="shared" si="4"/>
        <v>925.71428571428442</v>
      </c>
      <c r="S44" s="109">
        <v>7.0000000000000007E-2</v>
      </c>
    </row>
    <row r="45" spans="2:19" x14ac:dyDescent="0.25">
      <c r="B45" s="34">
        <v>43</v>
      </c>
      <c r="D45" s="106">
        <v>100</v>
      </c>
      <c r="E45" s="106">
        <v>50</v>
      </c>
      <c r="F45" s="106">
        <v>350</v>
      </c>
      <c r="P45" s="42">
        <f t="shared" si="5"/>
        <v>54.999999999999922</v>
      </c>
      <c r="Q45" s="107" t="s">
        <v>138</v>
      </c>
      <c r="R45" s="42">
        <f t="shared" si="4"/>
        <v>989.99999999999864</v>
      </c>
      <c r="S45" s="109">
        <v>0.06</v>
      </c>
    </row>
    <row r="46" spans="2:19" x14ac:dyDescent="0.25">
      <c r="B46" s="34">
        <v>44</v>
      </c>
      <c r="D46" s="106">
        <v>100</v>
      </c>
      <c r="E46" s="106">
        <v>50</v>
      </c>
      <c r="F46" s="106">
        <v>350</v>
      </c>
      <c r="P46" s="42">
        <f t="shared" si="5"/>
        <v>58.571428571428491</v>
      </c>
      <c r="Q46" s="107" t="s">
        <v>138</v>
      </c>
      <c r="R46" s="42">
        <f t="shared" si="4"/>
        <v>1054.2857142857129</v>
      </c>
      <c r="S46" s="109">
        <v>0.06</v>
      </c>
    </row>
    <row r="47" spans="2:19" x14ac:dyDescent="0.25">
      <c r="B47" s="34">
        <v>45</v>
      </c>
      <c r="D47" s="106">
        <v>100</v>
      </c>
      <c r="E47" s="106">
        <v>50</v>
      </c>
      <c r="F47" s="106">
        <v>350</v>
      </c>
      <c r="P47" s="42">
        <f t="shared" si="5"/>
        <v>62.142857142857061</v>
      </c>
      <c r="Q47" s="107" t="s">
        <v>138</v>
      </c>
      <c r="R47" s="42">
        <f t="shared" si="4"/>
        <v>1118.5714285714271</v>
      </c>
      <c r="S47" s="109">
        <v>0.06</v>
      </c>
    </row>
    <row r="48" spans="2:19" x14ac:dyDescent="0.25">
      <c r="B48" s="34">
        <v>46</v>
      </c>
      <c r="D48" s="106">
        <v>100</v>
      </c>
      <c r="E48" s="106">
        <v>50</v>
      </c>
      <c r="F48" s="106">
        <v>350</v>
      </c>
      <c r="P48" s="42">
        <f t="shared" si="5"/>
        <v>65.714285714285637</v>
      </c>
      <c r="Q48" s="107" t="s">
        <v>138</v>
      </c>
      <c r="R48" s="42">
        <f t="shared" si="4"/>
        <v>1182.8571428571415</v>
      </c>
      <c r="S48" s="109">
        <v>0.06</v>
      </c>
    </row>
    <row r="49" spans="2:19" x14ac:dyDescent="0.25">
      <c r="B49" s="34">
        <v>47</v>
      </c>
      <c r="D49" s="106">
        <v>100</v>
      </c>
      <c r="E49" s="106">
        <v>50</v>
      </c>
      <c r="F49" s="106">
        <v>350</v>
      </c>
      <c r="P49" s="42">
        <f t="shared" si="5"/>
        <v>69.285714285714207</v>
      </c>
      <c r="Q49" s="107" t="s">
        <v>138</v>
      </c>
      <c r="R49" s="42">
        <f t="shared" si="4"/>
        <v>1247.1428571428557</v>
      </c>
      <c r="S49" s="109">
        <v>0.06</v>
      </c>
    </row>
    <row r="50" spans="2:19" x14ac:dyDescent="0.25">
      <c r="B50" s="34">
        <v>48</v>
      </c>
      <c r="D50" s="106">
        <v>100</v>
      </c>
      <c r="E50" s="106">
        <v>50</v>
      </c>
      <c r="F50" s="106">
        <v>350</v>
      </c>
      <c r="P50" s="42">
        <f t="shared" si="5"/>
        <v>72.857142857142776</v>
      </c>
      <c r="Q50" s="107" t="s">
        <v>138</v>
      </c>
      <c r="R50" s="42">
        <f t="shared" si="4"/>
        <v>1311.42857142857</v>
      </c>
      <c r="S50" s="109">
        <v>0.06</v>
      </c>
    </row>
    <row r="51" spans="2:19" x14ac:dyDescent="0.25">
      <c r="B51" s="34">
        <v>49</v>
      </c>
      <c r="D51" s="106">
        <v>100</v>
      </c>
      <c r="E51" s="106">
        <v>50</v>
      </c>
      <c r="F51" s="106">
        <v>350</v>
      </c>
      <c r="P51" s="42">
        <f t="shared" si="5"/>
        <v>76.428571428571345</v>
      </c>
      <c r="Q51" s="107" t="s">
        <v>138</v>
      </c>
      <c r="R51" s="42">
        <f t="shared" si="4"/>
        <v>1375.7142857142842</v>
      </c>
      <c r="S51" s="109">
        <v>0.05</v>
      </c>
    </row>
    <row r="52" spans="2:19" x14ac:dyDescent="0.25">
      <c r="B52" s="34">
        <v>50</v>
      </c>
      <c r="D52" s="106">
        <v>100</v>
      </c>
      <c r="E52" s="106">
        <v>50</v>
      </c>
      <c r="F52" s="106">
        <v>350</v>
      </c>
      <c r="P52" s="42">
        <f t="shared" si="5"/>
        <v>79.999999999999915</v>
      </c>
      <c r="Q52" s="107" t="s">
        <v>138</v>
      </c>
      <c r="R52" s="42">
        <f t="shared" si="4"/>
        <v>1439.9999999999984</v>
      </c>
      <c r="S52" s="109">
        <v>0.05</v>
      </c>
    </row>
    <row r="53" spans="2:19" x14ac:dyDescent="0.25">
      <c r="B53" s="34">
        <v>51</v>
      </c>
      <c r="D53" s="106">
        <v>100</v>
      </c>
      <c r="E53" s="106">
        <v>50</v>
      </c>
      <c r="F53" s="106">
        <v>350</v>
      </c>
      <c r="P53" s="42">
        <f t="shared" si="5"/>
        <v>83.571428571428484</v>
      </c>
      <c r="Q53" s="107" t="s">
        <v>138</v>
      </c>
      <c r="R53" s="42">
        <f t="shared" si="4"/>
        <v>1504.2857142857126</v>
      </c>
      <c r="S53" s="109">
        <v>0.05</v>
      </c>
    </row>
    <row r="54" spans="2:19" x14ac:dyDescent="0.25">
      <c r="B54" s="34">
        <v>52</v>
      </c>
      <c r="D54" s="106">
        <v>100</v>
      </c>
      <c r="E54" s="106">
        <v>50</v>
      </c>
      <c r="F54" s="106">
        <v>350</v>
      </c>
      <c r="P54" s="42">
        <f t="shared" si="5"/>
        <v>87.142857142857054</v>
      </c>
      <c r="Q54" s="107" t="s">
        <v>138</v>
      </c>
      <c r="R54" s="42">
        <f t="shared" si="4"/>
        <v>1568.5714285714271</v>
      </c>
      <c r="S54" s="109">
        <v>0.05</v>
      </c>
    </row>
    <row r="55" spans="2:19" x14ac:dyDescent="0.25">
      <c r="B55" s="34">
        <v>53</v>
      </c>
      <c r="D55" s="106">
        <v>100</v>
      </c>
      <c r="E55" s="106">
        <v>50</v>
      </c>
      <c r="F55" s="106">
        <v>350</v>
      </c>
      <c r="P55" s="42">
        <f t="shared" si="5"/>
        <v>90.714285714285623</v>
      </c>
      <c r="Q55" s="107" t="s">
        <v>138</v>
      </c>
      <c r="R55" s="42">
        <f t="shared" si="4"/>
        <v>1632.8571428571413</v>
      </c>
      <c r="S55" s="109">
        <v>0.05</v>
      </c>
    </row>
    <row r="56" spans="2:19" x14ac:dyDescent="0.25">
      <c r="B56" s="34">
        <v>54</v>
      </c>
      <c r="D56" s="106">
        <v>100</v>
      </c>
      <c r="E56" s="106">
        <v>50</v>
      </c>
      <c r="F56" s="106">
        <v>350</v>
      </c>
      <c r="P56" s="42">
        <f t="shared" si="5"/>
        <v>94.285714285714192</v>
      </c>
      <c r="Q56" s="107" t="s">
        <v>138</v>
      </c>
      <c r="R56" s="42">
        <f t="shared" si="4"/>
        <v>1697.1428571428555</v>
      </c>
      <c r="S56" s="109">
        <v>0.05</v>
      </c>
    </row>
    <row r="57" spans="2:19" x14ac:dyDescent="0.25">
      <c r="B57" s="34">
        <v>55</v>
      </c>
      <c r="D57" s="106">
        <v>100</v>
      </c>
      <c r="E57" s="106">
        <v>50</v>
      </c>
      <c r="F57" s="106">
        <v>350</v>
      </c>
      <c r="P57" s="42">
        <f t="shared" si="5"/>
        <v>97.857142857142762</v>
      </c>
      <c r="Q57" s="107" t="s">
        <v>138</v>
      </c>
      <c r="R57" s="42">
        <f t="shared" si="4"/>
        <v>1761.4285714285697</v>
      </c>
      <c r="S57" s="109">
        <v>0.05</v>
      </c>
    </row>
    <row r="58" spans="2:19" x14ac:dyDescent="0.25">
      <c r="B58" s="34">
        <v>56</v>
      </c>
      <c r="D58" s="106">
        <v>100</v>
      </c>
      <c r="E58" s="106">
        <v>50</v>
      </c>
      <c r="F58" s="106">
        <v>350</v>
      </c>
      <c r="P58" s="42">
        <f t="shared" si="5"/>
        <v>101.42857142857133</v>
      </c>
      <c r="Q58" s="107" t="s">
        <v>138</v>
      </c>
      <c r="R58" s="42">
        <f t="shared" si="4"/>
        <v>1825.714285714284</v>
      </c>
      <c r="S58" s="109">
        <v>3.5000000000000003E-2</v>
      </c>
    </row>
    <row r="59" spans="2:19" x14ac:dyDescent="0.25">
      <c r="B59" s="34">
        <v>57</v>
      </c>
      <c r="D59" s="106">
        <v>100</v>
      </c>
      <c r="E59" s="106">
        <v>50</v>
      </c>
      <c r="F59" s="106">
        <v>350</v>
      </c>
      <c r="P59" s="42">
        <f t="shared" si="5"/>
        <v>104.9999999999999</v>
      </c>
      <c r="Q59" s="107" t="s">
        <v>138</v>
      </c>
      <c r="R59" s="42">
        <f t="shared" si="4"/>
        <v>1889.9999999999982</v>
      </c>
      <c r="S59" s="109">
        <v>3.5000000000000003E-2</v>
      </c>
    </row>
    <row r="60" spans="2:19" x14ac:dyDescent="0.25">
      <c r="B60" s="34">
        <v>58</v>
      </c>
      <c r="D60" s="106">
        <v>100</v>
      </c>
      <c r="E60" s="106">
        <v>50</v>
      </c>
      <c r="F60" s="106">
        <v>350</v>
      </c>
      <c r="P60" s="42">
        <f t="shared" si="5"/>
        <v>108.57142857142847</v>
      </c>
      <c r="Q60" s="107" t="s">
        <v>138</v>
      </c>
      <c r="R60" s="42">
        <f t="shared" si="4"/>
        <v>1954.2857142857124</v>
      </c>
      <c r="S60" s="109">
        <v>3.5000000000000003E-2</v>
      </c>
    </row>
    <row r="61" spans="2:19" x14ac:dyDescent="0.25">
      <c r="B61" s="34">
        <v>59</v>
      </c>
      <c r="D61" s="106">
        <v>100</v>
      </c>
      <c r="E61" s="106">
        <v>50</v>
      </c>
      <c r="F61" s="106">
        <v>350</v>
      </c>
      <c r="P61" s="42">
        <f t="shared" si="5"/>
        <v>112.14285714285704</v>
      </c>
      <c r="Q61" s="107" t="s">
        <v>138</v>
      </c>
      <c r="R61" s="42">
        <f t="shared" si="4"/>
        <v>2018.5714285714268</v>
      </c>
      <c r="S61" s="109">
        <v>3.5000000000000003E-2</v>
      </c>
    </row>
    <row r="62" spans="2:19" x14ac:dyDescent="0.25">
      <c r="B62" s="34">
        <v>60</v>
      </c>
      <c r="D62" s="106">
        <v>100</v>
      </c>
      <c r="E62" s="106">
        <v>50</v>
      </c>
      <c r="F62" s="106">
        <v>350</v>
      </c>
      <c r="P62" s="42">
        <f t="shared" si="5"/>
        <v>115.71428571428561</v>
      </c>
      <c r="Q62" s="107" t="s">
        <v>138</v>
      </c>
      <c r="R62" s="42">
        <f>(17500*P62)/1000</f>
        <v>2024.9999999999982</v>
      </c>
      <c r="S62" s="109">
        <v>3.5000000000000003E-2</v>
      </c>
    </row>
    <row r="63" spans="2:19" x14ac:dyDescent="0.25">
      <c r="B63" s="34">
        <v>61</v>
      </c>
      <c r="D63" s="106">
        <v>100</v>
      </c>
      <c r="E63" s="106">
        <v>50</v>
      </c>
      <c r="F63" s="106">
        <v>350</v>
      </c>
      <c r="P63" s="42">
        <f t="shared" si="5"/>
        <v>119.28571428571418</v>
      </c>
      <c r="Q63" s="107" t="s">
        <v>138</v>
      </c>
      <c r="R63" s="42">
        <f t="shared" ref="R63:R91" si="6">(17500*P63)/1000</f>
        <v>2087.4999999999982</v>
      </c>
      <c r="S63" s="109">
        <v>3.5000000000000003E-2</v>
      </c>
    </row>
    <row r="64" spans="2:19" x14ac:dyDescent="0.25">
      <c r="B64" s="34">
        <v>62</v>
      </c>
      <c r="D64" s="106">
        <v>100</v>
      </c>
      <c r="E64" s="106">
        <v>50</v>
      </c>
      <c r="F64" s="106">
        <v>350</v>
      </c>
      <c r="P64" s="42">
        <f t="shared" si="5"/>
        <v>122.85714285714275</v>
      </c>
      <c r="Q64" s="107" t="s">
        <v>138</v>
      </c>
      <c r="R64" s="42">
        <f t="shared" si="6"/>
        <v>2149.9999999999982</v>
      </c>
      <c r="S64" s="109">
        <v>3.5000000000000003E-2</v>
      </c>
    </row>
    <row r="65" spans="2:19" x14ac:dyDescent="0.25">
      <c r="B65" s="34">
        <v>63</v>
      </c>
      <c r="D65" s="106">
        <v>100</v>
      </c>
      <c r="E65" s="106">
        <v>50</v>
      </c>
      <c r="F65" s="106">
        <v>350</v>
      </c>
      <c r="P65" s="42">
        <f t="shared" si="5"/>
        <v>126.42857142857132</v>
      </c>
      <c r="Q65" s="107" t="s">
        <v>138</v>
      </c>
      <c r="R65" s="42">
        <f t="shared" si="6"/>
        <v>2212.4999999999982</v>
      </c>
      <c r="S65" s="109">
        <v>3.5000000000000003E-2</v>
      </c>
    </row>
    <row r="66" spans="2:19" x14ac:dyDescent="0.25">
      <c r="B66" s="34">
        <v>64</v>
      </c>
      <c r="D66" s="106">
        <v>100</v>
      </c>
      <c r="E66" s="106">
        <v>50</v>
      </c>
      <c r="F66" s="106">
        <v>350</v>
      </c>
      <c r="P66" s="42">
        <f t="shared" si="5"/>
        <v>129.99999999999989</v>
      </c>
      <c r="Q66" s="107" t="s">
        <v>138</v>
      </c>
      <c r="R66" s="42">
        <f t="shared" si="6"/>
        <v>2274.9999999999982</v>
      </c>
      <c r="S66" s="109">
        <v>3.5000000000000003E-2</v>
      </c>
    </row>
    <row r="67" spans="2:19" x14ac:dyDescent="0.25">
      <c r="B67" s="34">
        <v>65</v>
      </c>
      <c r="D67" s="106">
        <v>100</v>
      </c>
      <c r="E67" s="106">
        <v>50</v>
      </c>
      <c r="F67" s="106">
        <v>350</v>
      </c>
      <c r="P67" s="42">
        <f t="shared" si="5"/>
        <v>133.57142857142847</v>
      </c>
      <c r="Q67" s="107" t="s">
        <v>138</v>
      </c>
      <c r="R67" s="42">
        <f t="shared" si="6"/>
        <v>2337.4999999999982</v>
      </c>
      <c r="S67" s="109">
        <v>3.5000000000000003E-2</v>
      </c>
    </row>
    <row r="68" spans="2:19" x14ac:dyDescent="0.25">
      <c r="B68" s="34">
        <v>66</v>
      </c>
      <c r="D68" s="106">
        <v>100</v>
      </c>
      <c r="E68" s="106">
        <v>50</v>
      </c>
      <c r="F68" s="106">
        <v>350</v>
      </c>
      <c r="P68" s="42">
        <f t="shared" si="5"/>
        <v>137.14285714285705</v>
      </c>
      <c r="Q68" s="107" t="s">
        <v>138</v>
      </c>
      <c r="R68" s="42">
        <f t="shared" si="6"/>
        <v>2399.9999999999986</v>
      </c>
      <c r="S68" s="109">
        <v>3.5000000000000003E-2</v>
      </c>
    </row>
    <row r="69" spans="2:19" x14ac:dyDescent="0.25">
      <c r="B69" s="34">
        <v>67</v>
      </c>
      <c r="D69" s="106">
        <v>100</v>
      </c>
      <c r="E69" s="106">
        <v>50</v>
      </c>
      <c r="F69" s="106">
        <v>350</v>
      </c>
      <c r="P69" s="42">
        <f t="shared" si="5"/>
        <v>140.71428571428564</v>
      </c>
      <c r="Q69" s="107" t="s">
        <v>138</v>
      </c>
      <c r="R69" s="42">
        <f t="shared" si="6"/>
        <v>2462.4999999999986</v>
      </c>
      <c r="S69" s="109">
        <v>3.5000000000000003E-2</v>
      </c>
    </row>
    <row r="70" spans="2:19" x14ac:dyDescent="0.25">
      <c r="B70" s="34">
        <v>68</v>
      </c>
      <c r="D70" s="106">
        <v>100</v>
      </c>
      <c r="E70" s="106">
        <v>50</v>
      </c>
      <c r="F70" s="106">
        <v>350</v>
      </c>
      <c r="P70" s="42">
        <f t="shared" si="5"/>
        <v>144.28571428571422</v>
      </c>
      <c r="Q70" s="107" t="s">
        <v>138</v>
      </c>
      <c r="R70" s="42">
        <f t="shared" si="6"/>
        <v>2524.9999999999991</v>
      </c>
      <c r="S70" s="109">
        <v>3.5000000000000003E-2</v>
      </c>
    </row>
    <row r="71" spans="2:19" x14ac:dyDescent="0.25">
      <c r="B71" s="34">
        <v>69</v>
      </c>
      <c r="D71" s="106">
        <v>100</v>
      </c>
      <c r="E71" s="106">
        <v>50</v>
      </c>
      <c r="F71" s="106">
        <v>350</v>
      </c>
      <c r="P71" s="42">
        <f t="shared" si="5"/>
        <v>147.8571428571428</v>
      </c>
      <c r="Q71" s="107" t="s">
        <v>138</v>
      </c>
      <c r="R71" s="42">
        <f t="shared" si="6"/>
        <v>2587.4999999999991</v>
      </c>
      <c r="S71" s="109">
        <v>3.5000000000000003E-2</v>
      </c>
    </row>
    <row r="72" spans="2:19" x14ac:dyDescent="0.25">
      <c r="B72" s="34">
        <v>70</v>
      </c>
      <c r="D72" s="106">
        <v>100</v>
      </c>
      <c r="E72" s="106">
        <v>50</v>
      </c>
      <c r="F72" s="106">
        <v>350</v>
      </c>
      <c r="P72" s="42">
        <f t="shared" si="5"/>
        <v>151.42857142857139</v>
      </c>
      <c r="Q72" s="107" t="s">
        <v>138</v>
      </c>
      <c r="R72" s="42">
        <f t="shared" si="6"/>
        <v>2649.9999999999991</v>
      </c>
      <c r="S72" s="109">
        <v>3.5000000000000003E-2</v>
      </c>
    </row>
    <row r="73" spans="2:19" x14ac:dyDescent="0.25">
      <c r="B73" s="34">
        <v>71</v>
      </c>
      <c r="D73" s="106">
        <v>100</v>
      </c>
      <c r="E73" s="106">
        <v>50</v>
      </c>
      <c r="F73" s="106">
        <v>350</v>
      </c>
      <c r="P73" s="42">
        <f t="shared" si="5"/>
        <v>154.99999999999997</v>
      </c>
      <c r="Q73" s="107" t="s">
        <v>139</v>
      </c>
      <c r="R73" s="42">
        <f t="shared" si="6"/>
        <v>2712.4999999999995</v>
      </c>
      <c r="S73" s="109">
        <v>3.5000000000000003E-2</v>
      </c>
    </row>
    <row r="74" spans="2:19" x14ac:dyDescent="0.25">
      <c r="B74" s="34">
        <v>72</v>
      </c>
      <c r="D74" s="106">
        <v>100</v>
      </c>
      <c r="E74" s="106">
        <v>50</v>
      </c>
      <c r="F74" s="106">
        <v>350</v>
      </c>
      <c r="P74" s="42">
        <f t="shared" si="5"/>
        <v>158.57142857142856</v>
      </c>
      <c r="Q74" s="107" t="s">
        <v>139</v>
      </c>
      <c r="R74" s="42">
        <f t="shared" si="6"/>
        <v>2774.9999999999995</v>
      </c>
      <c r="S74" s="109">
        <v>3.5000000000000003E-2</v>
      </c>
    </row>
    <row r="75" spans="2:19" x14ac:dyDescent="0.25">
      <c r="B75" s="34">
        <v>73</v>
      </c>
      <c r="D75" s="106">
        <v>100</v>
      </c>
      <c r="E75" s="106">
        <v>50</v>
      </c>
      <c r="F75" s="106">
        <v>350</v>
      </c>
      <c r="P75" s="42">
        <f t="shared" si="5"/>
        <v>162.14285714285714</v>
      </c>
      <c r="Q75" s="107" t="s">
        <v>139</v>
      </c>
      <c r="R75" s="42">
        <f t="shared" si="6"/>
        <v>2837.5</v>
      </c>
      <c r="S75" s="109">
        <v>3.5000000000000003E-2</v>
      </c>
    </row>
    <row r="76" spans="2:19" x14ac:dyDescent="0.25">
      <c r="B76" s="34">
        <v>74</v>
      </c>
      <c r="D76" s="106">
        <v>100</v>
      </c>
      <c r="E76" s="106">
        <v>50</v>
      </c>
      <c r="F76" s="106">
        <v>350</v>
      </c>
      <c r="P76" s="42">
        <f t="shared" si="5"/>
        <v>165.71428571428572</v>
      </c>
      <c r="Q76" s="107" t="s">
        <v>139</v>
      </c>
      <c r="R76" s="42">
        <f t="shared" si="6"/>
        <v>2900</v>
      </c>
      <c r="S76" s="109">
        <v>3.5000000000000003E-2</v>
      </c>
    </row>
    <row r="77" spans="2:19" x14ac:dyDescent="0.25">
      <c r="B77" s="34">
        <v>75</v>
      </c>
      <c r="D77" s="106">
        <v>100</v>
      </c>
      <c r="E77" s="106">
        <v>50</v>
      </c>
      <c r="F77" s="106">
        <v>350</v>
      </c>
      <c r="P77" s="42">
        <f t="shared" si="5"/>
        <v>169.28571428571431</v>
      </c>
      <c r="Q77" s="107" t="s">
        <v>139</v>
      </c>
      <c r="R77" s="42">
        <f t="shared" si="6"/>
        <v>2962.5000000000005</v>
      </c>
      <c r="S77" s="109">
        <v>3.5000000000000003E-2</v>
      </c>
    </row>
    <row r="78" spans="2:19" x14ac:dyDescent="0.25">
      <c r="B78" s="34">
        <v>76</v>
      </c>
      <c r="D78" s="106">
        <v>100</v>
      </c>
      <c r="E78" s="106">
        <v>50</v>
      </c>
      <c r="F78" s="106">
        <v>350</v>
      </c>
      <c r="P78" s="42">
        <f t="shared" si="5"/>
        <v>172.85714285714289</v>
      </c>
      <c r="Q78" s="107" t="s">
        <v>139</v>
      </c>
      <c r="R78" s="42">
        <f t="shared" si="6"/>
        <v>3025.0000000000005</v>
      </c>
      <c r="S78" s="109">
        <v>3.5000000000000003E-2</v>
      </c>
    </row>
    <row r="79" spans="2:19" x14ac:dyDescent="0.25">
      <c r="B79" s="34">
        <v>77</v>
      </c>
      <c r="D79" s="106">
        <v>100</v>
      </c>
      <c r="E79" s="106">
        <v>50</v>
      </c>
      <c r="F79" s="106">
        <v>350</v>
      </c>
      <c r="P79" s="42">
        <f t="shared" si="5"/>
        <v>176.42857142857147</v>
      </c>
      <c r="Q79" s="107" t="s">
        <v>139</v>
      </c>
      <c r="R79" s="42">
        <f t="shared" si="6"/>
        <v>3087.5000000000009</v>
      </c>
      <c r="S79" s="109">
        <v>3.5000000000000003E-2</v>
      </c>
    </row>
    <row r="80" spans="2:19" x14ac:dyDescent="0.25">
      <c r="B80" s="34">
        <v>78</v>
      </c>
      <c r="D80" s="106">
        <v>100</v>
      </c>
      <c r="E80" s="106">
        <v>50</v>
      </c>
      <c r="F80" s="106">
        <v>350</v>
      </c>
      <c r="P80" s="42">
        <f t="shared" si="5"/>
        <v>180.00000000000006</v>
      </c>
      <c r="Q80" s="107" t="s">
        <v>139</v>
      </c>
      <c r="R80" s="42">
        <f t="shared" si="6"/>
        <v>3150.0000000000009</v>
      </c>
      <c r="S80" s="109">
        <v>3.5000000000000003E-2</v>
      </c>
    </row>
    <row r="81" spans="2:19" x14ac:dyDescent="0.25">
      <c r="B81" s="34">
        <v>79</v>
      </c>
      <c r="D81" s="106">
        <v>100</v>
      </c>
      <c r="E81" s="106">
        <v>50</v>
      </c>
      <c r="F81" s="106">
        <v>350</v>
      </c>
      <c r="P81" s="42">
        <f>P80+4.28571428571428</f>
        <v>184.28571428571433</v>
      </c>
      <c r="Q81" s="107" t="s">
        <v>139</v>
      </c>
      <c r="R81" s="42">
        <f t="shared" si="6"/>
        <v>3225.0000000000009</v>
      </c>
      <c r="S81" s="109">
        <v>3.5000000000000003E-2</v>
      </c>
    </row>
    <row r="82" spans="2:19" x14ac:dyDescent="0.25">
      <c r="B82" s="34">
        <v>80</v>
      </c>
      <c r="D82" s="106">
        <v>100</v>
      </c>
      <c r="E82" s="106">
        <v>50</v>
      </c>
      <c r="F82" s="106">
        <v>350</v>
      </c>
      <c r="P82" s="42">
        <f t="shared" ref="P82:P145" si="7">P81+4.28571428571428</f>
        <v>188.57142857142861</v>
      </c>
      <c r="Q82" s="107" t="s">
        <v>139</v>
      </c>
      <c r="R82" s="42">
        <f t="shared" si="6"/>
        <v>3300.0000000000009</v>
      </c>
      <c r="S82" s="109">
        <v>3.5000000000000003E-2</v>
      </c>
    </row>
    <row r="83" spans="2:19" x14ac:dyDescent="0.25">
      <c r="B83" s="34">
        <v>81</v>
      </c>
      <c r="D83" s="106">
        <v>100</v>
      </c>
      <c r="E83" s="106">
        <v>50</v>
      </c>
      <c r="F83" s="106">
        <v>350</v>
      </c>
      <c r="P83" s="42">
        <f t="shared" si="7"/>
        <v>192.85714285714289</v>
      </c>
      <c r="Q83" s="107" t="s">
        <v>139</v>
      </c>
      <c r="R83" s="42">
        <f t="shared" si="6"/>
        <v>3375.0000000000005</v>
      </c>
      <c r="S83" s="109">
        <v>3.5000000000000003E-2</v>
      </c>
    </row>
    <row r="84" spans="2:19" x14ac:dyDescent="0.25">
      <c r="B84" s="34">
        <v>82</v>
      </c>
      <c r="D84" s="106">
        <v>100</v>
      </c>
      <c r="E84" s="106">
        <v>50</v>
      </c>
      <c r="F84" s="106">
        <v>350</v>
      </c>
      <c r="P84" s="42">
        <f t="shared" si="7"/>
        <v>197.14285714285717</v>
      </c>
      <c r="Q84" s="107" t="s">
        <v>139</v>
      </c>
      <c r="R84" s="42">
        <f t="shared" si="6"/>
        <v>3450.0000000000005</v>
      </c>
      <c r="S84" s="109">
        <v>3.5000000000000003E-2</v>
      </c>
    </row>
    <row r="85" spans="2:19" x14ac:dyDescent="0.25">
      <c r="B85" s="34">
        <v>83</v>
      </c>
      <c r="D85" s="106">
        <v>100</v>
      </c>
      <c r="E85" s="106">
        <v>50</v>
      </c>
      <c r="F85" s="106">
        <v>350</v>
      </c>
      <c r="P85" s="42">
        <f t="shared" si="7"/>
        <v>201.42857142857144</v>
      </c>
      <c r="Q85" s="107" t="s">
        <v>139</v>
      </c>
      <c r="R85" s="42">
        <f t="shared" si="6"/>
        <v>3525.0000000000005</v>
      </c>
      <c r="S85" s="109">
        <v>2.5000000000000001E-2</v>
      </c>
    </row>
    <row r="86" spans="2:19" x14ac:dyDescent="0.25">
      <c r="B86" s="34">
        <v>84</v>
      </c>
      <c r="D86" s="106">
        <v>100</v>
      </c>
      <c r="E86" s="106">
        <v>50</v>
      </c>
      <c r="F86" s="106">
        <v>350</v>
      </c>
      <c r="P86" s="42">
        <f t="shared" si="7"/>
        <v>205.71428571428572</v>
      </c>
      <c r="Q86" s="107" t="s">
        <v>139</v>
      </c>
      <c r="R86" s="42">
        <f t="shared" si="6"/>
        <v>3600</v>
      </c>
      <c r="S86" s="109">
        <v>2.5000000000000001E-2</v>
      </c>
    </row>
    <row r="87" spans="2:19" x14ac:dyDescent="0.25">
      <c r="B87" s="34">
        <v>85</v>
      </c>
      <c r="D87" s="106">
        <v>100</v>
      </c>
      <c r="E87" s="106">
        <v>50</v>
      </c>
      <c r="F87" s="106">
        <v>350</v>
      </c>
      <c r="P87" s="42">
        <f t="shared" si="7"/>
        <v>210</v>
      </c>
      <c r="Q87" s="107" t="s">
        <v>139</v>
      </c>
      <c r="R87" s="42">
        <f t="shared" si="6"/>
        <v>3675</v>
      </c>
      <c r="S87" s="109">
        <v>2.5000000000000001E-2</v>
      </c>
    </row>
    <row r="88" spans="2:19" x14ac:dyDescent="0.25">
      <c r="B88" s="34">
        <v>86</v>
      </c>
      <c r="D88" s="106">
        <v>100</v>
      </c>
      <c r="E88" s="106">
        <v>50</v>
      </c>
      <c r="F88" s="106">
        <v>350</v>
      </c>
      <c r="P88" s="42">
        <f t="shared" si="7"/>
        <v>214.28571428571428</v>
      </c>
      <c r="Q88" s="107" t="s">
        <v>139</v>
      </c>
      <c r="R88" s="42">
        <f t="shared" si="6"/>
        <v>3750</v>
      </c>
      <c r="S88" s="109">
        <v>2.5000000000000001E-2</v>
      </c>
    </row>
    <row r="89" spans="2:19" x14ac:dyDescent="0.25">
      <c r="B89" s="34">
        <v>87</v>
      </c>
      <c r="D89" s="106">
        <v>100</v>
      </c>
      <c r="E89" s="106">
        <v>50</v>
      </c>
      <c r="F89" s="106">
        <v>350</v>
      </c>
      <c r="P89" s="42">
        <f t="shared" si="7"/>
        <v>218.57142857142856</v>
      </c>
      <c r="Q89" s="107" t="s">
        <v>139</v>
      </c>
      <c r="R89" s="42">
        <f t="shared" si="6"/>
        <v>3824.9999999999995</v>
      </c>
      <c r="S89" s="109">
        <v>2.5000000000000001E-2</v>
      </c>
    </row>
    <row r="90" spans="2:19" x14ac:dyDescent="0.25">
      <c r="B90" s="34">
        <v>88</v>
      </c>
      <c r="D90" s="106">
        <v>100</v>
      </c>
      <c r="E90" s="106">
        <v>50</v>
      </c>
      <c r="F90" s="106">
        <v>350</v>
      </c>
      <c r="P90" s="42">
        <f t="shared" si="7"/>
        <v>222.85714285714283</v>
      </c>
      <c r="Q90" s="107" t="s">
        <v>139</v>
      </c>
      <c r="R90" s="42">
        <f t="shared" si="6"/>
        <v>3899.9999999999995</v>
      </c>
      <c r="S90" s="109">
        <v>2.5000000000000001E-2</v>
      </c>
    </row>
    <row r="91" spans="2:19" x14ac:dyDescent="0.25">
      <c r="B91" s="34">
        <v>89</v>
      </c>
      <c r="D91" s="106">
        <v>100</v>
      </c>
      <c r="E91" s="106">
        <v>50</v>
      </c>
      <c r="F91" s="106">
        <v>350</v>
      </c>
      <c r="P91" s="42">
        <f t="shared" si="7"/>
        <v>227.14285714285711</v>
      </c>
      <c r="Q91" s="107" t="s">
        <v>139</v>
      </c>
      <c r="R91" s="42">
        <f t="shared" si="6"/>
        <v>3974.9999999999995</v>
      </c>
      <c r="S91" s="109">
        <v>2.5000000000000001E-2</v>
      </c>
    </row>
    <row r="92" spans="2:19" x14ac:dyDescent="0.25">
      <c r="B92" s="34">
        <v>90</v>
      </c>
      <c r="D92" s="106">
        <v>100</v>
      </c>
      <c r="E92" s="106">
        <v>50</v>
      </c>
      <c r="F92" s="106">
        <v>350</v>
      </c>
      <c r="P92" s="42">
        <f t="shared" si="7"/>
        <v>231.42857142857139</v>
      </c>
      <c r="Q92" s="107" t="s">
        <v>139</v>
      </c>
      <c r="R92" s="42">
        <f>(17000*P92)/1000</f>
        <v>3934.2857142857138</v>
      </c>
      <c r="S92" s="109">
        <v>2.5000000000000001E-2</v>
      </c>
    </row>
    <row r="93" spans="2:19" x14ac:dyDescent="0.25">
      <c r="B93" s="34">
        <v>91</v>
      </c>
      <c r="D93" s="106">
        <v>100</v>
      </c>
      <c r="E93" s="106">
        <v>50</v>
      </c>
      <c r="F93" s="106">
        <v>350</v>
      </c>
      <c r="P93" s="42">
        <f t="shared" si="7"/>
        <v>235.71428571428567</v>
      </c>
      <c r="Q93" s="107" t="s">
        <v>139</v>
      </c>
      <c r="R93" s="42">
        <f t="shared" ref="R93:R121" si="8">(17000*P93)/1000</f>
        <v>4007.1428571428564</v>
      </c>
      <c r="S93" s="109">
        <v>2.5000000000000001E-2</v>
      </c>
    </row>
    <row r="94" spans="2:19" x14ac:dyDescent="0.25">
      <c r="B94" s="34">
        <v>92</v>
      </c>
      <c r="D94" s="106">
        <v>100</v>
      </c>
      <c r="E94" s="106">
        <v>50</v>
      </c>
      <c r="F94" s="106">
        <v>350</v>
      </c>
      <c r="P94" s="42">
        <f t="shared" si="7"/>
        <v>239.99999999999994</v>
      </c>
      <c r="Q94" s="107" t="s">
        <v>139</v>
      </c>
      <c r="R94" s="42">
        <f t="shared" si="8"/>
        <v>4079.9999999999991</v>
      </c>
      <c r="S94" s="109">
        <v>2.5000000000000001E-2</v>
      </c>
    </row>
    <row r="95" spans="2:19" x14ac:dyDescent="0.25">
      <c r="B95" s="34">
        <v>93</v>
      </c>
      <c r="D95" s="106">
        <v>100</v>
      </c>
      <c r="E95" s="106">
        <v>50</v>
      </c>
      <c r="F95" s="106">
        <v>350</v>
      </c>
      <c r="P95" s="42">
        <f t="shared" si="7"/>
        <v>244.28571428571422</v>
      </c>
      <c r="Q95" s="107" t="s">
        <v>139</v>
      </c>
      <c r="R95" s="42">
        <f t="shared" si="8"/>
        <v>4152.8571428571422</v>
      </c>
      <c r="S95" s="109">
        <v>2.5000000000000001E-2</v>
      </c>
    </row>
    <row r="96" spans="2:19" x14ac:dyDescent="0.25">
      <c r="B96" s="34">
        <v>94</v>
      </c>
      <c r="D96" s="106">
        <v>100</v>
      </c>
      <c r="E96" s="106">
        <v>50</v>
      </c>
      <c r="F96" s="106">
        <v>350</v>
      </c>
      <c r="P96" s="42">
        <f t="shared" si="7"/>
        <v>248.5714285714285</v>
      </c>
      <c r="Q96" s="107" t="s">
        <v>139</v>
      </c>
      <c r="R96" s="42">
        <f t="shared" si="8"/>
        <v>4225.7142857142844</v>
      </c>
      <c r="S96" s="109">
        <v>2.5000000000000001E-2</v>
      </c>
    </row>
    <row r="97" spans="2:19" x14ac:dyDescent="0.25">
      <c r="B97" s="34">
        <v>95</v>
      </c>
      <c r="D97" s="106">
        <v>100</v>
      </c>
      <c r="E97" s="106">
        <v>50</v>
      </c>
      <c r="F97" s="106">
        <v>350</v>
      </c>
      <c r="P97" s="42">
        <f t="shared" si="7"/>
        <v>252.85714285714278</v>
      </c>
      <c r="Q97" s="107" t="s">
        <v>139</v>
      </c>
      <c r="R97" s="42">
        <f t="shared" si="8"/>
        <v>4298.5714285714275</v>
      </c>
      <c r="S97" s="109">
        <v>2.5000000000000001E-2</v>
      </c>
    </row>
    <row r="98" spans="2:19" x14ac:dyDescent="0.25">
      <c r="B98" s="34">
        <v>96</v>
      </c>
      <c r="D98" s="106">
        <v>100</v>
      </c>
      <c r="E98" s="106">
        <v>50</v>
      </c>
      <c r="F98" s="106">
        <v>350</v>
      </c>
      <c r="P98" s="42">
        <f t="shared" si="7"/>
        <v>257.14285714285705</v>
      </c>
      <c r="Q98" s="107" t="s">
        <v>139</v>
      </c>
      <c r="R98" s="42">
        <f t="shared" si="8"/>
        <v>4371.4285714285697</v>
      </c>
      <c r="S98" s="109">
        <v>2.5000000000000001E-2</v>
      </c>
    </row>
    <row r="99" spans="2:19" x14ac:dyDescent="0.25">
      <c r="B99" s="34">
        <v>97</v>
      </c>
      <c r="D99" s="106">
        <v>100</v>
      </c>
      <c r="E99" s="106">
        <v>50</v>
      </c>
      <c r="F99" s="106">
        <v>350</v>
      </c>
      <c r="P99" s="42">
        <f t="shared" si="7"/>
        <v>261.42857142857133</v>
      </c>
      <c r="Q99" s="107" t="s">
        <v>139</v>
      </c>
      <c r="R99" s="42">
        <f t="shared" si="8"/>
        <v>4444.2857142857129</v>
      </c>
      <c r="S99" s="109">
        <v>2.5000000000000001E-2</v>
      </c>
    </row>
    <row r="100" spans="2:19" x14ac:dyDescent="0.25">
      <c r="B100" s="34">
        <v>98</v>
      </c>
      <c r="D100" s="106">
        <v>100</v>
      </c>
      <c r="E100" s="106">
        <v>50</v>
      </c>
      <c r="F100" s="106">
        <v>350</v>
      </c>
      <c r="P100" s="42">
        <f t="shared" si="7"/>
        <v>265.71428571428561</v>
      </c>
      <c r="Q100" s="107" t="s">
        <v>139</v>
      </c>
      <c r="R100" s="42">
        <f t="shared" si="8"/>
        <v>4517.1428571428551</v>
      </c>
      <c r="S100" s="109">
        <v>2.5000000000000001E-2</v>
      </c>
    </row>
    <row r="101" spans="2:19" x14ac:dyDescent="0.25">
      <c r="B101" s="34">
        <v>99</v>
      </c>
      <c r="D101" s="106">
        <v>100</v>
      </c>
      <c r="E101" s="106">
        <v>50</v>
      </c>
      <c r="F101" s="106">
        <v>350</v>
      </c>
      <c r="P101" s="42">
        <f t="shared" si="7"/>
        <v>269.99999999999989</v>
      </c>
      <c r="Q101" s="107" t="s">
        <v>140</v>
      </c>
      <c r="R101" s="42">
        <f t="shared" si="8"/>
        <v>4589.9999999999982</v>
      </c>
      <c r="S101" s="109">
        <v>2.5000000000000001E-2</v>
      </c>
    </row>
    <row r="102" spans="2:19" x14ac:dyDescent="0.25">
      <c r="B102" s="34">
        <v>100</v>
      </c>
      <c r="D102" s="106">
        <v>100</v>
      </c>
      <c r="E102" s="106">
        <v>50</v>
      </c>
      <c r="F102" s="106">
        <v>350</v>
      </c>
      <c r="P102" s="42">
        <f t="shared" si="7"/>
        <v>274.28571428571416</v>
      </c>
      <c r="Q102" s="107" t="s">
        <v>140</v>
      </c>
      <c r="R102" s="42">
        <f t="shared" si="8"/>
        <v>4662.8571428571413</v>
      </c>
      <c r="S102" s="109">
        <v>2.5000000000000001E-2</v>
      </c>
    </row>
    <row r="103" spans="2:19" x14ac:dyDescent="0.25">
      <c r="B103" s="34">
        <v>101</v>
      </c>
      <c r="D103" s="106">
        <v>100</v>
      </c>
      <c r="E103" s="106">
        <v>50</v>
      </c>
      <c r="F103" s="106">
        <v>350</v>
      </c>
      <c r="P103" s="42">
        <f t="shared" si="7"/>
        <v>278.57142857142844</v>
      </c>
      <c r="Q103" s="107" t="s">
        <v>140</v>
      </c>
      <c r="R103" s="42">
        <f t="shared" si="8"/>
        <v>4735.7142857142835</v>
      </c>
      <c r="S103" s="109">
        <v>2.5000000000000001E-2</v>
      </c>
    </row>
    <row r="104" spans="2:19" x14ac:dyDescent="0.25">
      <c r="B104" s="34">
        <v>102</v>
      </c>
      <c r="D104" s="106">
        <v>100</v>
      </c>
      <c r="E104" s="106">
        <v>50</v>
      </c>
      <c r="F104" s="106">
        <v>350</v>
      </c>
      <c r="P104" s="42">
        <f t="shared" si="7"/>
        <v>282.85714285714272</v>
      </c>
      <c r="Q104" s="107" t="s">
        <v>140</v>
      </c>
      <c r="R104" s="42">
        <f t="shared" si="8"/>
        <v>4808.5714285714266</v>
      </c>
      <c r="S104" s="109">
        <v>2.5000000000000001E-2</v>
      </c>
    </row>
    <row r="105" spans="2:19" x14ac:dyDescent="0.25">
      <c r="B105" s="34">
        <v>103</v>
      </c>
      <c r="D105" s="106">
        <v>100</v>
      </c>
      <c r="E105" s="106">
        <v>50</v>
      </c>
      <c r="F105" s="106">
        <v>350</v>
      </c>
      <c r="P105" s="42">
        <f t="shared" si="7"/>
        <v>287.142857142857</v>
      </c>
      <c r="Q105" s="107" t="s">
        <v>140</v>
      </c>
      <c r="R105" s="42">
        <f t="shared" si="8"/>
        <v>4881.4285714285688</v>
      </c>
      <c r="S105" s="109">
        <v>2.5000000000000001E-2</v>
      </c>
    </row>
    <row r="106" spans="2:19" x14ac:dyDescent="0.25">
      <c r="B106" s="34">
        <v>104</v>
      </c>
      <c r="D106" s="106">
        <v>100</v>
      </c>
      <c r="E106" s="106">
        <v>50</v>
      </c>
      <c r="F106" s="106">
        <v>350</v>
      </c>
      <c r="P106" s="42">
        <f t="shared" si="7"/>
        <v>291.42857142857127</v>
      </c>
      <c r="Q106" s="107" t="s">
        <v>140</v>
      </c>
      <c r="R106" s="42">
        <f t="shared" si="8"/>
        <v>4954.2857142857119</v>
      </c>
      <c r="S106" s="109">
        <v>2.5000000000000001E-2</v>
      </c>
    </row>
    <row r="107" spans="2:19" x14ac:dyDescent="0.25">
      <c r="B107" s="34">
        <v>105</v>
      </c>
      <c r="D107" s="106">
        <v>100</v>
      </c>
      <c r="E107" s="106">
        <v>50</v>
      </c>
      <c r="F107" s="106">
        <v>350</v>
      </c>
      <c r="P107" s="42">
        <f t="shared" si="7"/>
        <v>295.71428571428555</v>
      </c>
      <c r="Q107" s="107" t="s">
        <v>140</v>
      </c>
      <c r="R107" s="42">
        <f t="shared" si="8"/>
        <v>5027.1428571428542</v>
      </c>
      <c r="S107" s="109">
        <v>2.5000000000000001E-2</v>
      </c>
    </row>
    <row r="108" spans="2:19" x14ac:dyDescent="0.25">
      <c r="B108" s="34">
        <v>106</v>
      </c>
      <c r="D108" s="106">
        <v>100</v>
      </c>
      <c r="E108" s="106">
        <v>50</v>
      </c>
      <c r="F108" s="106">
        <v>350</v>
      </c>
      <c r="P108" s="42">
        <f t="shared" si="7"/>
        <v>299.99999999999983</v>
      </c>
      <c r="Q108" s="107" t="s">
        <v>140</v>
      </c>
      <c r="R108" s="42">
        <f t="shared" si="8"/>
        <v>5099.9999999999973</v>
      </c>
      <c r="S108" s="109">
        <v>0.02</v>
      </c>
    </row>
    <row r="109" spans="2:19" x14ac:dyDescent="0.25">
      <c r="B109" s="34">
        <v>107</v>
      </c>
      <c r="D109" s="106">
        <v>100</v>
      </c>
      <c r="E109" s="106">
        <v>50</v>
      </c>
      <c r="F109" s="106">
        <v>350</v>
      </c>
      <c r="P109" s="42">
        <f t="shared" si="7"/>
        <v>304.28571428571411</v>
      </c>
      <c r="Q109" s="107" t="s">
        <v>140</v>
      </c>
      <c r="R109" s="42">
        <f t="shared" si="8"/>
        <v>5172.8571428571395</v>
      </c>
      <c r="S109" s="109">
        <v>0.02</v>
      </c>
    </row>
    <row r="110" spans="2:19" x14ac:dyDescent="0.25">
      <c r="B110" s="34">
        <v>108</v>
      </c>
      <c r="D110" s="106">
        <v>100</v>
      </c>
      <c r="E110" s="106">
        <v>50</v>
      </c>
      <c r="F110" s="106">
        <v>350</v>
      </c>
      <c r="P110" s="42">
        <f t="shared" si="7"/>
        <v>308.57142857142838</v>
      </c>
      <c r="Q110" s="107" t="s">
        <v>140</v>
      </c>
      <c r="R110" s="42">
        <f t="shared" si="8"/>
        <v>5245.7142857142826</v>
      </c>
      <c r="S110" s="109">
        <v>0.02</v>
      </c>
    </row>
    <row r="111" spans="2:19" x14ac:dyDescent="0.25">
      <c r="B111" s="34">
        <v>109</v>
      </c>
      <c r="D111" s="106">
        <v>100</v>
      </c>
      <c r="E111" s="106">
        <v>50</v>
      </c>
      <c r="F111" s="106">
        <v>350</v>
      </c>
      <c r="P111" s="42">
        <f t="shared" si="7"/>
        <v>312.85714285714266</v>
      </c>
      <c r="Q111" s="107" t="s">
        <v>140</v>
      </c>
      <c r="R111" s="42">
        <f t="shared" si="8"/>
        <v>5318.5714285714257</v>
      </c>
      <c r="S111" s="109">
        <v>0.02</v>
      </c>
    </row>
    <row r="112" spans="2:19" x14ac:dyDescent="0.25">
      <c r="B112" s="34">
        <v>110</v>
      </c>
      <c r="D112" s="106">
        <v>100</v>
      </c>
      <c r="E112" s="106">
        <v>50</v>
      </c>
      <c r="F112" s="106">
        <v>350</v>
      </c>
      <c r="P112" s="42">
        <f t="shared" si="7"/>
        <v>317.14285714285694</v>
      </c>
      <c r="Q112" s="107" t="s">
        <v>140</v>
      </c>
      <c r="R112" s="42">
        <f t="shared" si="8"/>
        <v>5391.4285714285679</v>
      </c>
      <c r="S112" s="109">
        <v>0.02</v>
      </c>
    </row>
    <row r="113" spans="2:19" x14ac:dyDescent="0.25">
      <c r="B113" s="34">
        <v>111</v>
      </c>
      <c r="D113" s="106">
        <v>100</v>
      </c>
      <c r="E113" s="106">
        <v>50</v>
      </c>
      <c r="F113" s="106">
        <v>350</v>
      </c>
      <c r="P113" s="42">
        <f t="shared" si="7"/>
        <v>321.42857142857122</v>
      </c>
      <c r="Q113" s="107" t="s">
        <v>140</v>
      </c>
      <c r="R113" s="42">
        <f t="shared" si="8"/>
        <v>5464.285714285711</v>
      </c>
      <c r="S113" s="109">
        <v>0.02</v>
      </c>
    </row>
    <row r="114" spans="2:19" x14ac:dyDescent="0.25">
      <c r="B114" s="34">
        <v>112</v>
      </c>
      <c r="D114" s="106">
        <v>100</v>
      </c>
      <c r="E114" s="106">
        <v>50</v>
      </c>
      <c r="F114" s="106">
        <v>350</v>
      </c>
      <c r="P114" s="42">
        <f t="shared" si="7"/>
        <v>325.7142857142855</v>
      </c>
      <c r="Q114" s="107" t="s">
        <v>140</v>
      </c>
      <c r="R114" s="42">
        <f t="shared" si="8"/>
        <v>5537.1428571428532</v>
      </c>
      <c r="S114" s="109">
        <v>0.02</v>
      </c>
    </row>
    <row r="115" spans="2:19" x14ac:dyDescent="0.25">
      <c r="B115" s="34">
        <v>113</v>
      </c>
      <c r="D115" s="106">
        <v>100</v>
      </c>
      <c r="E115" s="106">
        <v>50</v>
      </c>
      <c r="F115" s="106">
        <v>350</v>
      </c>
      <c r="P115" s="42">
        <f t="shared" si="7"/>
        <v>329.99999999999977</v>
      </c>
      <c r="Q115" s="107" t="s">
        <v>140</v>
      </c>
      <c r="R115" s="42">
        <f t="shared" si="8"/>
        <v>5609.9999999999964</v>
      </c>
      <c r="S115" s="109">
        <v>0.02</v>
      </c>
    </row>
    <row r="116" spans="2:19" x14ac:dyDescent="0.25">
      <c r="B116" s="34">
        <v>114</v>
      </c>
      <c r="D116" s="106">
        <v>100</v>
      </c>
      <c r="E116" s="106">
        <v>50</v>
      </c>
      <c r="F116" s="106">
        <v>350</v>
      </c>
      <c r="P116" s="42">
        <f t="shared" si="7"/>
        <v>334.28571428571405</v>
      </c>
      <c r="Q116" s="107" t="s">
        <v>140</v>
      </c>
      <c r="R116" s="42">
        <f t="shared" si="8"/>
        <v>5682.8571428571386</v>
      </c>
      <c r="S116" s="109">
        <v>0.02</v>
      </c>
    </row>
    <row r="117" spans="2:19" x14ac:dyDescent="0.25">
      <c r="B117" s="34">
        <v>115</v>
      </c>
      <c r="D117" s="106">
        <v>100</v>
      </c>
      <c r="E117" s="106">
        <v>50</v>
      </c>
      <c r="F117" s="106">
        <v>350</v>
      </c>
      <c r="P117" s="42">
        <f t="shared" si="7"/>
        <v>338.57142857142833</v>
      </c>
      <c r="Q117" s="107" t="s">
        <v>140</v>
      </c>
      <c r="R117" s="42">
        <f t="shared" si="8"/>
        <v>5755.7142857142817</v>
      </c>
      <c r="S117" s="109">
        <v>0.02</v>
      </c>
    </row>
    <row r="118" spans="2:19" x14ac:dyDescent="0.25">
      <c r="B118" s="34">
        <v>116</v>
      </c>
      <c r="D118" s="106">
        <v>100</v>
      </c>
      <c r="E118" s="106">
        <v>50</v>
      </c>
      <c r="F118" s="106">
        <v>350</v>
      </c>
      <c r="P118" s="42">
        <f t="shared" si="7"/>
        <v>342.85714285714261</v>
      </c>
      <c r="Q118" s="107" t="s">
        <v>140</v>
      </c>
      <c r="R118" s="42">
        <f t="shared" si="8"/>
        <v>5828.5714285714248</v>
      </c>
      <c r="S118" s="109">
        <v>0.02</v>
      </c>
    </row>
    <row r="119" spans="2:19" x14ac:dyDescent="0.25">
      <c r="B119" s="34">
        <v>117</v>
      </c>
      <c r="D119" s="106">
        <v>100</v>
      </c>
      <c r="E119" s="106">
        <v>50</v>
      </c>
      <c r="F119" s="106">
        <v>350</v>
      </c>
      <c r="P119" s="42">
        <f t="shared" si="7"/>
        <v>347.14285714285688</v>
      </c>
      <c r="Q119" s="107" t="s">
        <v>140</v>
      </c>
      <c r="R119" s="42">
        <f t="shared" si="8"/>
        <v>5901.428571428567</v>
      </c>
      <c r="S119" s="109">
        <v>0.02</v>
      </c>
    </row>
    <row r="120" spans="2:19" x14ac:dyDescent="0.25">
      <c r="B120" s="34">
        <v>118</v>
      </c>
      <c r="D120" s="106">
        <v>100</v>
      </c>
      <c r="E120" s="106">
        <v>50</v>
      </c>
      <c r="F120" s="106">
        <v>350</v>
      </c>
      <c r="P120" s="42">
        <f t="shared" si="7"/>
        <v>351.42857142857116</v>
      </c>
      <c r="Q120" s="107" t="s">
        <v>140</v>
      </c>
      <c r="R120" s="42">
        <f t="shared" si="8"/>
        <v>5974.2857142857101</v>
      </c>
      <c r="S120" s="109">
        <v>0.02</v>
      </c>
    </row>
    <row r="121" spans="2:19" x14ac:dyDescent="0.25">
      <c r="B121" s="34">
        <v>119</v>
      </c>
      <c r="D121" s="106">
        <v>100</v>
      </c>
      <c r="E121" s="106">
        <v>50</v>
      </c>
      <c r="F121" s="106">
        <v>350</v>
      </c>
      <c r="P121" s="42">
        <f t="shared" si="7"/>
        <v>355.71428571428544</v>
      </c>
      <c r="Q121" s="107" t="s">
        <v>140</v>
      </c>
      <c r="R121" s="42">
        <f t="shared" si="8"/>
        <v>6047.1428571428523</v>
      </c>
      <c r="S121" s="109">
        <v>0.02</v>
      </c>
    </row>
    <row r="122" spans="2:19" x14ac:dyDescent="0.25">
      <c r="B122" s="34">
        <v>120</v>
      </c>
      <c r="D122" s="106">
        <v>100</v>
      </c>
      <c r="E122" s="106">
        <v>50</v>
      </c>
      <c r="F122" s="106">
        <v>350</v>
      </c>
      <c r="P122" s="42">
        <f t="shared" si="7"/>
        <v>359.99999999999972</v>
      </c>
      <c r="Q122" s="107" t="s">
        <v>140</v>
      </c>
      <c r="R122" s="42">
        <f>(16500*P122)/1000</f>
        <v>5939.9999999999955</v>
      </c>
      <c r="S122" s="109">
        <v>0.02</v>
      </c>
    </row>
    <row r="123" spans="2:19" x14ac:dyDescent="0.25">
      <c r="B123" s="34">
        <v>121</v>
      </c>
      <c r="D123" s="106">
        <v>100</v>
      </c>
      <c r="E123" s="106">
        <v>100</v>
      </c>
      <c r="F123" s="106">
        <v>350</v>
      </c>
      <c r="P123" s="42">
        <f t="shared" si="7"/>
        <v>364.28571428571399</v>
      </c>
      <c r="Q123" s="107" t="s">
        <v>140</v>
      </c>
      <c r="R123" s="42">
        <f t="shared" ref="R123:R151" si="9">(16500*P123)/1000</f>
        <v>6010.7142857142808</v>
      </c>
      <c r="S123" s="109">
        <v>0.02</v>
      </c>
    </row>
    <row r="124" spans="2:19" x14ac:dyDescent="0.25">
      <c r="B124" s="34">
        <v>122</v>
      </c>
      <c r="D124" s="106">
        <v>100</v>
      </c>
      <c r="E124" s="106">
        <v>100</v>
      </c>
      <c r="F124" s="106">
        <v>350</v>
      </c>
      <c r="P124" s="42">
        <f t="shared" si="7"/>
        <v>368.57142857142827</v>
      </c>
      <c r="Q124" s="107" t="s">
        <v>140</v>
      </c>
      <c r="R124" s="42">
        <f t="shared" si="9"/>
        <v>6081.4285714285661</v>
      </c>
      <c r="S124" s="109">
        <v>0.02</v>
      </c>
    </row>
    <row r="125" spans="2:19" x14ac:dyDescent="0.25">
      <c r="B125" s="34">
        <v>123</v>
      </c>
      <c r="D125" s="106">
        <v>100</v>
      </c>
      <c r="E125" s="106">
        <v>100</v>
      </c>
      <c r="F125" s="106">
        <v>350</v>
      </c>
      <c r="P125" s="42">
        <f t="shared" si="7"/>
        <v>372.85714285714255</v>
      </c>
      <c r="Q125" s="107" t="s">
        <v>140</v>
      </c>
      <c r="R125" s="42">
        <f t="shared" si="9"/>
        <v>6152.1428571428514</v>
      </c>
      <c r="S125" s="109">
        <v>0.02</v>
      </c>
    </row>
    <row r="126" spans="2:19" x14ac:dyDescent="0.25">
      <c r="B126" s="34">
        <v>124</v>
      </c>
      <c r="D126" s="106">
        <v>100</v>
      </c>
      <c r="E126" s="106">
        <v>100</v>
      </c>
      <c r="F126" s="106">
        <v>350</v>
      </c>
      <c r="P126" s="42">
        <f t="shared" si="7"/>
        <v>377.14285714285683</v>
      </c>
      <c r="Q126" s="107" t="s">
        <v>140</v>
      </c>
      <c r="R126" s="42">
        <f t="shared" si="9"/>
        <v>6222.8571428571377</v>
      </c>
      <c r="S126" s="109">
        <v>0.02</v>
      </c>
    </row>
    <row r="127" spans="2:19" x14ac:dyDescent="0.25">
      <c r="B127" s="34">
        <v>125</v>
      </c>
      <c r="D127" s="106">
        <v>100</v>
      </c>
      <c r="E127" s="106">
        <v>100</v>
      </c>
      <c r="F127" s="106">
        <v>350</v>
      </c>
      <c r="P127" s="42">
        <f t="shared" si="7"/>
        <v>381.4285714285711</v>
      </c>
      <c r="Q127" s="107" t="s">
        <v>140</v>
      </c>
      <c r="R127" s="42">
        <f t="shared" si="9"/>
        <v>6293.5714285714239</v>
      </c>
      <c r="S127" s="109">
        <v>0.02</v>
      </c>
    </row>
    <row r="128" spans="2:19" x14ac:dyDescent="0.25">
      <c r="B128" s="34">
        <v>126</v>
      </c>
      <c r="D128" s="106">
        <v>100</v>
      </c>
      <c r="E128" s="106">
        <v>100</v>
      </c>
      <c r="F128" s="106">
        <v>350</v>
      </c>
      <c r="P128" s="42">
        <f t="shared" si="7"/>
        <v>385.71428571428538</v>
      </c>
      <c r="Q128" s="107" t="s">
        <v>140</v>
      </c>
      <c r="R128" s="42">
        <f t="shared" si="9"/>
        <v>6364.2857142857092</v>
      </c>
      <c r="S128" s="109">
        <v>0.02</v>
      </c>
    </row>
    <row r="129" spans="2:19" x14ac:dyDescent="0.25">
      <c r="B129" s="34">
        <v>127</v>
      </c>
      <c r="D129" s="106">
        <v>100</v>
      </c>
      <c r="E129" s="106">
        <v>100</v>
      </c>
      <c r="F129" s="106">
        <v>350</v>
      </c>
      <c r="P129" s="42">
        <f t="shared" si="7"/>
        <v>389.99999999999966</v>
      </c>
      <c r="Q129" s="107" t="s">
        <v>140</v>
      </c>
      <c r="R129" s="42">
        <f t="shared" si="9"/>
        <v>6434.9999999999945</v>
      </c>
      <c r="S129" s="109">
        <v>0.02</v>
      </c>
    </row>
    <row r="130" spans="2:19" x14ac:dyDescent="0.25">
      <c r="B130" s="34">
        <v>128</v>
      </c>
      <c r="D130" s="106">
        <v>100</v>
      </c>
      <c r="E130" s="106">
        <v>100</v>
      </c>
      <c r="F130" s="106">
        <v>350</v>
      </c>
      <c r="P130" s="42">
        <f t="shared" si="7"/>
        <v>394.28571428571394</v>
      </c>
      <c r="Q130" s="107" t="s">
        <v>140</v>
      </c>
      <c r="R130" s="42">
        <f t="shared" si="9"/>
        <v>6505.7142857142799</v>
      </c>
      <c r="S130" s="109">
        <v>0.02</v>
      </c>
    </row>
    <row r="131" spans="2:19" x14ac:dyDescent="0.25">
      <c r="B131" s="34">
        <v>129</v>
      </c>
      <c r="D131" s="106">
        <v>100</v>
      </c>
      <c r="E131" s="106">
        <v>100</v>
      </c>
      <c r="F131" s="106">
        <v>350</v>
      </c>
      <c r="P131" s="42">
        <f t="shared" si="7"/>
        <v>398.57142857142821</v>
      </c>
      <c r="Q131" s="107" t="s">
        <v>140</v>
      </c>
      <c r="R131" s="42">
        <f t="shared" si="9"/>
        <v>6576.4285714285652</v>
      </c>
      <c r="S131" s="109">
        <v>0.02</v>
      </c>
    </row>
    <row r="132" spans="2:19" x14ac:dyDescent="0.25">
      <c r="B132" s="34">
        <v>130</v>
      </c>
      <c r="D132" s="106">
        <v>100</v>
      </c>
      <c r="E132" s="106">
        <v>100</v>
      </c>
      <c r="F132" s="106">
        <v>350</v>
      </c>
      <c r="P132" s="42">
        <f t="shared" si="7"/>
        <v>402.85714285714249</v>
      </c>
      <c r="Q132" s="107" t="s">
        <v>140</v>
      </c>
      <c r="R132" s="42">
        <f t="shared" si="9"/>
        <v>6647.1428571428505</v>
      </c>
      <c r="S132" s="109">
        <v>1.8000000000000002E-2</v>
      </c>
    </row>
    <row r="133" spans="2:19" x14ac:dyDescent="0.25">
      <c r="B133" s="34">
        <v>131</v>
      </c>
      <c r="D133" s="106">
        <v>100</v>
      </c>
      <c r="E133" s="106">
        <v>100</v>
      </c>
      <c r="F133" s="106">
        <v>350</v>
      </c>
      <c r="P133" s="42">
        <f t="shared" si="7"/>
        <v>407.14285714285677</v>
      </c>
      <c r="Q133" s="107" t="s">
        <v>140</v>
      </c>
      <c r="R133" s="42">
        <f t="shared" si="9"/>
        <v>6717.8571428571368</v>
      </c>
      <c r="S133" s="109">
        <v>1.8000000000000002E-2</v>
      </c>
    </row>
    <row r="134" spans="2:19" x14ac:dyDescent="0.25">
      <c r="B134" s="34">
        <v>132</v>
      </c>
      <c r="D134" s="106">
        <v>100</v>
      </c>
      <c r="E134" s="106">
        <v>100</v>
      </c>
      <c r="F134" s="106">
        <v>350</v>
      </c>
      <c r="P134" s="42">
        <f t="shared" si="7"/>
        <v>411.42857142857105</v>
      </c>
      <c r="Q134" s="107" t="s">
        <v>140</v>
      </c>
      <c r="R134" s="42">
        <f t="shared" si="9"/>
        <v>6788.571428571423</v>
      </c>
      <c r="S134" s="109">
        <v>1.8000000000000002E-2</v>
      </c>
    </row>
    <row r="135" spans="2:19" x14ac:dyDescent="0.25">
      <c r="B135" s="34">
        <v>133</v>
      </c>
      <c r="D135" s="106">
        <v>100</v>
      </c>
      <c r="E135" s="106">
        <v>100</v>
      </c>
      <c r="F135" s="106">
        <v>350</v>
      </c>
      <c r="P135" s="42">
        <f t="shared" si="7"/>
        <v>415.71428571428532</v>
      </c>
      <c r="Q135" s="107" t="s">
        <v>140</v>
      </c>
      <c r="R135" s="42">
        <f t="shared" si="9"/>
        <v>6859.2857142857083</v>
      </c>
      <c r="S135" s="109">
        <v>1.8000000000000002E-2</v>
      </c>
    </row>
    <row r="136" spans="2:19" x14ac:dyDescent="0.25">
      <c r="B136" s="34">
        <v>134</v>
      </c>
      <c r="D136" s="106">
        <v>100</v>
      </c>
      <c r="E136" s="106">
        <v>100</v>
      </c>
      <c r="F136" s="106">
        <v>350</v>
      </c>
      <c r="P136" s="42">
        <f t="shared" si="7"/>
        <v>419.9999999999996</v>
      </c>
      <c r="Q136" s="107" t="s">
        <v>140</v>
      </c>
      <c r="R136" s="42">
        <f t="shared" si="9"/>
        <v>6929.9999999999936</v>
      </c>
      <c r="S136" s="109">
        <v>1.8000000000000002E-2</v>
      </c>
    </row>
    <row r="137" spans="2:19" x14ac:dyDescent="0.25">
      <c r="B137" s="34">
        <v>135</v>
      </c>
      <c r="D137" s="106">
        <v>100</v>
      </c>
      <c r="E137" s="106">
        <v>100</v>
      </c>
      <c r="F137" s="106">
        <v>350</v>
      </c>
      <c r="P137" s="42">
        <f t="shared" si="7"/>
        <v>424.28571428571388</v>
      </c>
      <c r="Q137" s="107" t="s">
        <v>140</v>
      </c>
      <c r="R137" s="42">
        <f t="shared" si="9"/>
        <v>7000.714285714279</v>
      </c>
      <c r="S137" s="109">
        <v>1.8000000000000002E-2</v>
      </c>
    </row>
    <row r="138" spans="2:19" x14ac:dyDescent="0.25">
      <c r="B138" s="34">
        <v>136</v>
      </c>
      <c r="D138" s="106">
        <v>100</v>
      </c>
      <c r="E138" s="106">
        <v>100</v>
      </c>
      <c r="F138" s="106">
        <v>350</v>
      </c>
      <c r="P138" s="42">
        <f t="shared" si="7"/>
        <v>428.57142857142816</v>
      </c>
      <c r="Q138" s="107" t="s">
        <v>140</v>
      </c>
      <c r="R138" s="42">
        <f t="shared" si="9"/>
        <v>7071.4285714285643</v>
      </c>
      <c r="S138" s="109">
        <v>1.8000000000000002E-2</v>
      </c>
    </row>
    <row r="139" spans="2:19" x14ac:dyDescent="0.25">
      <c r="B139" s="34">
        <v>137</v>
      </c>
      <c r="D139" s="106">
        <v>100</v>
      </c>
      <c r="E139" s="106">
        <v>100</v>
      </c>
      <c r="F139" s="106">
        <v>350</v>
      </c>
      <c r="P139" s="42">
        <f t="shared" si="7"/>
        <v>432.85714285714243</v>
      </c>
      <c r="Q139" s="107" t="s">
        <v>140</v>
      </c>
      <c r="R139" s="42">
        <f t="shared" si="9"/>
        <v>7142.1428571428496</v>
      </c>
      <c r="S139" s="109">
        <v>1.8000000000000002E-2</v>
      </c>
    </row>
    <row r="140" spans="2:19" x14ac:dyDescent="0.25">
      <c r="B140" s="34">
        <v>138</v>
      </c>
      <c r="D140" s="106">
        <v>100</v>
      </c>
      <c r="E140" s="106">
        <v>100</v>
      </c>
      <c r="F140" s="106">
        <v>350</v>
      </c>
      <c r="P140" s="42">
        <f t="shared" si="7"/>
        <v>437.14285714285671</v>
      </c>
      <c r="Q140" s="107" t="s">
        <v>140</v>
      </c>
      <c r="R140" s="42">
        <f t="shared" si="9"/>
        <v>7212.8571428571358</v>
      </c>
      <c r="S140" s="109">
        <v>1.8000000000000002E-2</v>
      </c>
    </row>
    <row r="141" spans="2:19" x14ac:dyDescent="0.25">
      <c r="B141" s="34">
        <v>139</v>
      </c>
      <c r="D141" s="106">
        <v>100</v>
      </c>
      <c r="E141" s="106">
        <v>100</v>
      </c>
      <c r="F141" s="106">
        <v>350</v>
      </c>
      <c r="P141" s="42">
        <f t="shared" si="7"/>
        <v>441.42857142857099</v>
      </c>
      <c r="Q141" s="107" t="s">
        <v>140</v>
      </c>
      <c r="R141" s="42">
        <f t="shared" si="9"/>
        <v>7283.5714285714221</v>
      </c>
      <c r="S141" s="109">
        <v>1.8000000000000002E-2</v>
      </c>
    </row>
    <row r="142" spans="2:19" x14ac:dyDescent="0.25">
      <c r="B142" s="34">
        <v>140</v>
      </c>
      <c r="D142" s="106">
        <v>100</v>
      </c>
      <c r="E142" s="106">
        <v>100</v>
      </c>
      <c r="F142" s="106">
        <v>350</v>
      </c>
      <c r="P142" s="42">
        <f t="shared" si="7"/>
        <v>445.71428571428527</v>
      </c>
      <c r="Q142" s="107" t="s">
        <v>140</v>
      </c>
      <c r="R142" s="42">
        <f t="shared" si="9"/>
        <v>7354.2857142857074</v>
      </c>
      <c r="S142" s="109">
        <v>1.8000000000000002E-2</v>
      </c>
    </row>
    <row r="143" spans="2:19" x14ac:dyDescent="0.25">
      <c r="B143" s="34">
        <v>141</v>
      </c>
      <c r="D143" s="106">
        <v>100</v>
      </c>
      <c r="E143" s="106">
        <v>100</v>
      </c>
      <c r="F143" s="106">
        <v>350</v>
      </c>
      <c r="P143" s="42">
        <f t="shared" si="7"/>
        <v>449.99999999999955</v>
      </c>
      <c r="Q143" s="107" t="s">
        <v>140</v>
      </c>
      <c r="R143" s="42">
        <f t="shared" si="9"/>
        <v>7424.9999999999927</v>
      </c>
      <c r="S143" s="109">
        <v>1.8000000000000002E-2</v>
      </c>
    </row>
    <row r="144" spans="2:19" x14ac:dyDescent="0.25">
      <c r="B144" s="34">
        <v>142</v>
      </c>
      <c r="D144" s="106">
        <v>100</v>
      </c>
      <c r="E144" s="106">
        <v>100</v>
      </c>
      <c r="F144" s="106">
        <v>350</v>
      </c>
      <c r="P144" s="42">
        <f t="shared" si="7"/>
        <v>454.28571428571382</v>
      </c>
      <c r="Q144" s="107" t="s">
        <v>140</v>
      </c>
      <c r="R144" s="42">
        <f t="shared" si="9"/>
        <v>7495.714285714278</v>
      </c>
      <c r="S144" s="109">
        <v>1.8000000000000002E-2</v>
      </c>
    </row>
    <row r="145" spans="2:19" x14ac:dyDescent="0.25">
      <c r="B145" s="34">
        <v>143</v>
      </c>
      <c r="D145" s="106">
        <v>100</v>
      </c>
      <c r="E145" s="106">
        <v>100</v>
      </c>
      <c r="F145" s="106">
        <v>350</v>
      </c>
      <c r="P145" s="42">
        <f t="shared" si="7"/>
        <v>458.5714285714281</v>
      </c>
      <c r="Q145" s="107" t="s">
        <v>140</v>
      </c>
      <c r="R145" s="42">
        <f t="shared" si="9"/>
        <v>7566.4285714285634</v>
      </c>
      <c r="S145" s="109">
        <v>1.8000000000000002E-2</v>
      </c>
    </row>
    <row r="146" spans="2:19" x14ac:dyDescent="0.25">
      <c r="B146" s="34">
        <v>144</v>
      </c>
      <c r="D146" s="106">
        <v>100</v>
      </c>
      <c r="E146" s="106">
        <v>100</v>
      </c>
      <c r="F146" s="106">
        <v>350</v>
      </c>
      <c r="P146" s="42">
        <f t="shared" ref="P146:P182" si="10">P145+4.28571428571428</f>
        <v>462.85714285714238</v>
      </c>
      <c r="Q146" s="107" t="s">
        <v>140</v>
      </c>
      <c r="R146" s="42">
        <f t="shared" si="9"/>
        <v>7637.1428571428487</v>
      </c>
      <c r="S146" s="109">
        <v>1.8000000000000002E-2</v>
      </c>
    </row>
    <row r="147" spans="2:19" x14ac:dyDescent="0.25">
      <c r="B147" s="34">
        <v>145</v>
      </c>
      <c r="D147" s="106">
        <v>100</v>
      </c>
      <c r="E147" s="106">
        <v>100</v>
      </c>
      <c r="F147" s="106">
        <v>350</v>
      </c>
      <c r="P147" s="42">
        <f t="shared" si="10"/>
        <v>467.14285714285666</v>
      </c>
      <c r="Q147" s="107" t="s">
        <v>140</v>
      </c>
      <c r="R147" s="42">
        <f t="shared" si="9"/>
        <v>7707.8571428571349</v>
      </c>
      <c r="S147" s="109">
        <v>1.8000000000000002E-2</v>
      </c>
    </row>
    <row r="148" spans="2:19" x14ac:dyDescent="0.25">
      <c r="B148" s="34">
        <v>146</v>
      </c>
      <c r="D148" s="106">
        <v>100</v>
      </c>
      <c r="E148" s="106">
        <v>100</v>
      </c>
      <c r="F148" s="106">
        <v>350</v>
      </c>
      <c r="P148" s="42">
        <f t="shared" si="10"/>
        <v>471.42857142857093</v>
      </c>
      <c r="Q148" s="107" t="s">
        <v>140</v>
      </c>
      <c r="R148" s="42">
        <f t="shared" si="9"/>
        <v>7778.5714285714212</v>
      </c>
      <c r="S148" s="109">
        <v>1.8000000000000002E-2</v>
      </c>
    </row>
    <row r="149" spans="2:19" x14ac:dyDescent="0.25">
      <c r="B149" s="34">
        <v>147</v>
      </c>
      <c r="D149" s="106">
        <v>100</v>
      </c>
      <c r="E149" s="106">
        <v>100</v>
      </c>
      <c r="F149" s="106">
        <v>350</v>
      </c>
      <c r="P149" s="42">
        <f t="shared" si="10"/>
        <v>475.71428571428521</v>
      </c>
      <c r="Q149" s="107" t="s">
        <v>140</v>
      </c>
      <c r="R149" s="42">
        <f t="shared" si="9"/>
        <v>7849.2857142857065</v>
      </c>
      <c r="S149" s="109">
        <v>1.8000000000000002E-2</v>
      </c>
    </row>
    <row r="150" spans="2:19" x14ac:dyDescent="0.25">
      <c r="B150" s="34">
        <v>148</v>
      </c>
      <c r="D150" s="106">
        <v>100</v>
      </c>
      <c r="E150" s="106">
        <v>100</v>
      </c>
      <c r="F150" s="106">
        <v>350</v>
      </c>
      <c r="P150" s="42">
        <f t="shared" si="10"/>
        <v>479.99999999999949</v>
      </c>
      <c r="Q150" s="107" t="s">
        <v>140</v>
      </c>
      <c r="R150" s="42">
        <f t="shared" si="9"/>
        <v>7919.9999999999918</v>
      </c>
      <c r="S150" s="109">
        <v>1.8000000000000002E-2</v>
      </c>
    </row>
    <row r="151" spans="2:19" x14ac:dyDescent="0.25">
      <c r="B151" s="34">
        <v>149</v>
      </c>
      <c r="D151" s="106">
        <v>100</v>
      </c>
      <c r="E151" s="106">
        <v>100</v>
      </c>
      <c r="F151" s="106">
        <v>350</v>
      </c>
      <c r="P151" s="42">
        <f t="shared" si="10"/>
        <v>484.28571428571377</v>
      </c>
      <c r="Q151" s="107" t="s">
        <v>140</v>
      </c>
      <c r="R151" s="42">
        <f t="shared" si="9"/>
        <v>7990.7142857142771</v>
      </c>
      <c r="S151" s="109">
        <v>1.8000000000000002E-2</v>
      </c>
    </row>
    <row r="152" spans="2:19" x14ac:dyDescent="0.25">
      <c r="B152" s="34">
        <v>150</v>
      </c>
      <c r="D152" s="106">
        <v>100</v>
      </c>
      <c r="E152" s="106">
        <v>100</v>
      </c>
      <c r="F152" s="106">
        <v>350</v>
      </c>
      <c r="P152" s="42">
        <f t="shared" si="10"/>
        <v>488.57142857142804</v>
      </c>
      <c r="Q152" s="107" t="s">
        <v>140</v>
      </c>
      <c r="R152" s="42">
        <f>(16000*P152)/1000</f>
        <v>7817.1428571428487</v>
      </c>
      <c r="S152" s="109">
        <v>1.8000000000000002E-2</v>
      </c>
    </row>
    <row r="153" spans="2:19" x14ac:dyDescent="0.25">
      <c r="B153" s="34">
        <v>151</v>
      </c>
      <c r="D153" s="106">
        <v>100</v>
      </c>
      <c r="E153" s="106">
        <v>100</v>
      </c>
      <c r="F153" s="106">
        <v>350</v>
      </c>
      <c r="P153" s="42">
        <f t="shared" si="10"/>
        <v>492.85714285714232</v>
      </c>
      <c r="Q153" s="107" t="s">
        <v>140</v>
      </c>
      <c r="R153" s="42">
        <f t="shared" ref="R153:R182" si="11">(16000*P153)/1000</f>
        <v>7885.7142857142771</v>
      </c>
      <c r="S153" s="109">
        <v>1.8000000000000002E-2</v>
      </c>
    </row>
    <row r="154" spans="2:19" x14ac:dyDescent="0.25">
      <c r="B154" s="34">
        <v>152</v>
      </c>
      <c r="D154" s="106">
        <v>100</v>
      </c>
      <c r="E154" s="106">
        <v>100</v>
      </c>
      <c r="F154" s="106">
        <v>350</v>
      </c>
      <c r="P154" s="42">
        <f t="shared" si="10"/>
        <v>497.1428571428566</v>
      </c>
      <c r="Q154" s="107" t="s">
        <v>140</v>
      </c>
      <c r="R154" s="42">
        <f t="shared" si="11"/>
        <v>7954.2857142857056</v>
      </c>
      <c r="S154" s="109">
        <v>1.8000000000000002E-2</v>
      </c>
    </row>
    <row r="155" spans="2:19" x14ac:dyDescent="0.25">
      <c r="B155" s="34">
        <v>153</v>
      </c>
      <c r="D155" s="106">
        <v>100</v>
      </c>
      <c r="E155" s="106">
        <v>100</v>
      </c>
      <c r="F155" s="106">
        <v>350</v>
      </c>
      <c r="P155" s="42">
        <f t="shared" si="10"/>
        <v>501.42857142857088</v>
      </c>
      <c r="Q155" s="107" t="s">
        <v>140</v>
      </c>
      <c r="R155" s="42">
        <f t="shared" si="11"/>
        <v>8022.857142857134</v>
      </c>
      <c r="S155" s="109">
        <v>1.4999999999999999E-2</v>
      </c>
    </row>
    <row r="156" spans="2:19" x14ac:dyDescent="0.25">
      <c r="B156" s="34">
        <v>154</v>
      </c>
      <c r="D156" s="106">
        <v>100</v>
      </c>
      <c r="E156" s="106">
        <v>100</v>
      </c>
      <c r="F156" s="106">
        <v>350</v>
      </c>
      <c r="P156" s="42">
        <f t="shared" si="10"/>
        <v>505.71428571428515</v>
      </c>
      <c r="Q156" s="107" t="s">
        <v>140</v>
      </c>
      <c r="R156" s="42">
        <f t="shared" si="11"/>
        <v>8091.4285714285625</v>
      </c>
      <c r="S156" s="109">
        <v>1.4999999999999999E-2</v>
      </c>
    </row>
    <row r="157" spans="2:19" x14ac:dyDescent="0.25">
      <c r="B157" s="34">
        <v>155</v>
      </c>
      <c r="D157" s="106">
        <v>100</v>
      </c>
      <c r="E157" s="106">
        <v>100</v>
      </c>
      <c r="F157" s="106">
        <v>350</v>
      </c>
      <c r="P157" s="42">
        <f t="shared" si="10"/>
        <v>509.99999999999943</v>
      </c>
      <c r="Q157" s="107" t="s">
        <v>140</v>
      </c>
      <c r="R157" s="42">
        <f t="shared" si="11"/>
        <v>8159.9999999999909</v>
      </c>
      <c r="S157" s="109">
        <v>1.4999999999999999E-2</v>
      </c>
    </row>
    <row r="158" spans="2:19" x14ac:dyDescent="0.25">
      <c r="B158" s="34">
        <v>156</v>
      </c>
      <c r="D158" s="106">
        <v>100</v>
      </c>
      <c r="E158" s="106">
        <v>100</v>
      </c>
      <c r="F158" s="106">
        <v>350</v>
      </c>
      <c r="P158" s="42">
        <f t="shared" si="10"/>
        <v>514.28571428571377</v>
      </c>
      <c r="Q158" s="107" t="s">
        <v>140</v>
      </c>
      <c r="R158" s="42">
        <f t="shared" si="11"/>
        <v>8228.5714285714203</v>
      </c>
      <c r="S158" s="109">
        <v>1.4999999999999999E-2</v>
      </c>
    </row>
    <row r="159" spans="2:19" x14ac:dyDescent="0.25">
      <c r="B159" s="34">
        <v>157</v>
      </c>
      <c r="D159" s="106">
        <v>100</v>
      </c>
      <c r="E159" s="106">
        <v>100</v>
      </c>
      <c r="F159" s="106">
        <v>350</v>
      </c>
      <c r="P159" s="42">
        <f t="shared" si="10"/>
        <v>518.5714285714281</v>
      </c>
      <c r="Q159" s="107" t="s">
        <v>140</v>
      </c>
      <c r="R159" s="42">
        <f t="shared" si="11"/>
        <v>8297.1428571428496</v>
      </c>
      <c r="S159" s="109">
        <v>1.4999999999999999E-2</v>
      </c>
    </row>
    <row r="160" spans="2:19" x14ac:dyDescent="0.25">
      <c r="B160" s="34">
        <v>158</v>
      </c>
      <c r="D160" s="106">
        <v>100</v>
      </c>
      <c r="E160" s="106">
        <v>100</v>
      </c>
      <c r="F160" s="106">
        <v>350</v>
      </c>
      <c r="P160" s="42">
        <f t="shared" si="10"/>
        <v>522.85714285714243</v>
      </c>
      <c r="Q160" s="107" t="s">
        <v>140</v>
      </c>
      <c r="R160" s="42">
        <f t="shared" si="11"/>
        <v>8365.714285714279</v>
      </c>
      <c r="S160" s="109">
        <v>1.4999999999999999E-2</v>
      </c>
    </row>
    <row r="161" spans="2:19" x14ac:dyDescent="0.25">
      <c r="B161" s="34">
        <v>159</v>
      </c>
      <c r="D161" s="106">
        <v>100</v>
      </c>
      <c r="E161" s="106">
        <v>100</v>
      </c>
      <c r="F161" s="106">
        <v>350</v>
      </c>
      <c r="P161" s="42">
        <f t="shared" si="10"/>
        <v>527.14285714285677</v>
      </c>
      <c r="Q161" s="107" t="s">
        <v>140</v>
      </c>
      <c r="R161" s="42">
        <f t="shared" si="11"/>
        <v>8434.2857142857083</v>
      </c>
      <c r="S161" s="109">
        <v>1.4999999999999999E-2</v>
      </c>
    </row>
    <row r="162" spans="2:19" x14ac:dyDescent="0.25">
      <c r="B162" s="34">
        <v>160</v>
      </c>
      <c r="D162" s="106">
        <v>100</v>
      </c>
      <c r="E162" s="106">
        <v>100</v>
      </c>
      <c r="F162" s="106">
        <v>350</v>
      </c>
      <c r="P162" s="42">
        <f t="shared" si="10"/>
        <v>531.4285714285711</v>
      </c>
      <c r="Q162" s="107" t="s">
        <v>140</v>
      </c>
      <c r="R162" s="42">
        <f t="shared" si="11"/>
        <v>8502.8571428571377</v>
      </c>
      <c r="S162" s="109">
        <v>1.4999999999999999E-2</v>
      </c>
    </row>
    <row r="163" spans="2:19" x14ac:dyDescent="0.25">
      <c r="B163" s="34">
        <v>161</v>
      </c>
      <c r="D163" s="106">
        <v>100</v>
      </c>
      <c r="E163" s="106">
        <v>100</v>
      </c>
      <c r="F163" s="106">
        <v>350</v>
      </c>
      <c r="P163" s="42">
        <f t="shared" si="10"/>
        <v>535.71428571428544</v>
      </c>
      <c r="Q163" s="107" t="s">
        <v>140</v>
      </c>
      <c r="R163" s="42">
        <f t="shared" si="11"/>
        <v>8571.428571428567</v>
      </c>
      <c r="S163" s="109">
        <v>1.4999999999999999E-2</v>
      </c>
    </row>
    <row r="164" spans="2:19" x14ac:dyDescent="0.25">
      <c r="B164" s="34">
        <v>162</v>
      </c>
      <c r="D164" s="106">
        <v>100</v>
      </c>
      <c r="E164" s="106">
        <v>100</v>
      </c>
      <c r="F164" s="106">
        <v>350</v>
      </c>
      <c r="P164" s="42">
        <f t="shared" si="10"/>
        <v>539.99999999999977</v>
      </c>
      <c r="Q164" s="107" t="s">
        <v>140</v>
      </c>
      <c r="R164" s="42">
        <f t="shared" si="11"/>
        <v>8639.9999999999964</v>
      </c>
      <c r="S164" s="109">
        <v>1.4999999999999999E-2</v>
      </c>
    </row>
    <row r="165" spans="2:19" x14ac:dyDescent="0.25">
      <c r="B165" s="34">
        <v>163</v>
      </c>
      <c r="D165" s="106">
        <v>100</v>
      </c>
      <c r="E165" s="106">
        <v>100</v>
      </c>
      <c r="F165" s="106">
        <v>350</v>
      </c>
      <c r="P165" s="42">
        <f t="shared" si="10"/>
        <v>544.28571428571411</v>
      </c>
      <c r="Q165" s="107" t="s">
        <v>140</v>
      </c>
      <c r="R165" s="42">
        <f t="shared" si="11"/>
        <v>8708.5714285714257</v>
      </c>
      <c r="S165" s="109">
        <v>1.4999999999999999E-2</v>
      </c>
    </row>
    <row r="166" spans="2:19" x14ac:dyDescent="0.25">
      <c r="B166" s="34">
        <v>164</v>
      </c>
      <c r="D166" s="106">
        <v>100</v>
      </c>
      <c r="E166" s="106">
        <v>100</v>
      </c>
      <c r="F166" s="106">
        <v>350</v>
      </c>
      <c r="P166" s="42">
        <f t="shared" si="10"/>
        <v>548.57142857142844</v>
      </c>
      <c r="Q166" s="107" t="s">
        <v>140</v>
      </c>
      <c r="R166" s="42">
        <f t="shared" si="11"/>
        <v>8777.1428571428551</v>
      </c>
      <c r="S166" s="109">
        <v>1.4999999999999999E-2</v>
      </c>
    </row>
    <row r="167" spans="2:19" x14ac:dyDescent="0.25">
      <c r="B167" s="34">
        <v>165</v>
      </c>
      <c r="D167" s="106">
        <v>100</v>
      </c>
      <c r="E167" s="106">
        <v>100</v>
      </c>
      <c r="F167" s="106">
        <v>350</v>
      </c>
      <c r="P167" s="42">
        <f t="shared" si="10"/>
        <v>552.85714285714278</v>
      </c>
      <c r="Q167" s="107" t="s">
        <v>140</v>
      </c>
      <c r="R167" s="42">
        <f t="shared" si="11"/>
        <v>8845.7142857142844</v>
      </c>
      <c r="S167" s="109">
        <v>1.4999999999999999E-2</v>
      </c>
    </row>
    <row r="168" spans="2:19" x14ac:dyDescent="0.25">
      <c r="B168" s="34">
        <v>166</v>
      </c>
      <c r="D168" s="106">
        <v>100</v>
      </c>
      <c r="E168" s="106">
        <v>100</v>
      </c>
      <c r="F168" s="106">
        <v>350</v>
      </c>
      <c r="P168" s="42">
        <f t="shared" si="10"/>
        <v>557.14285714285711</v>
      </c>
      <c r="Q168" s="107" t="s">
        <v>140</v>
      </c>
      <c r="R168" s="42">
        <f t="shared" si="11"/>
        <v>8914.2857142857138</v>
      </c>
      <c r="S168" s="109">
        <v>1.4999999999999999E-2</v>
      </c>
    </row>
    <row r="169" spans="2:19" x14ac:dyDescent="0.25">
      <c r="B169" s="34">
        <v>167</v>
      </c>
      <c r="D169" s="106">
        <v>100</v>
      </c>
      <c r="E169" s="106">
        <v>100</v>
      </c>
      <c r="F169" s="106">
        <v>350</v>
      </c>
      <c r="P169" s="42">
        <f t="shared" si="10"/>
        <v>561.42857142857144</v>
      </c>
      <c r="Q169" s="107" t="s">
        <v>140</v>
      </c>
      <c r="R169" s="42">
        <f t="shared" si="11"/>
        <v>8982.8571428571431</v>
      </c>
      <c r="S169" s="109">
        <v>1.4999999999999999E-2</v>
      </c>
    </row>
    <row r="170" spans="2:19" x14ac:dyDescent="0.25">
      <c r="B170" s="34">
        <v>168</v>
      </c>
      <c r="D170" s="106">
        <v>100</v>
      </c>
      <c r="E170" s="106">
        <v>100</v>
      </c>
      <c r="F170" s="106">
        <v>350</v>
      </c>
      <c r="P170" s="42">
        <f t="shared" si="10"/>
        <v>565.71428571428578</v>
      </c>
      <c r="Q170" s="107" t="s">
        <v>140</v>
      </c>
      <c r="R170" s="42">
        <f t="shared" si="11"/>
        <v>9051.4285714285725</v>
      </c>
      <c r="S170" s="109">
        <v>1.4999999999999999E-2</v>
      </c>
    </row>
    <row r="171" spans="2:19" x14ac:dyDescent="0.25">
      <c r="B171" s="34">
        <v>169</v>
      </c>
      <c r="D171" s="106">
        <v>100</v>
      </c>
      <c r="E171" s="106">
        <v>100</v>
      </c>
      <c r="F171" s="106">
        <v>350</v>
      </c>
      <c r="P171" s="42">
        <f t="shared" si="10"/>
        <v>570.00000000000011</v>
      </c>
      <c r="Q171" s="107" t="s">
        <v>140</v>
      </c>
      <c r="R171" s="42">
        <f t="shared" si="11"/>
        <v>9120.0000000000018</v>
      </c>
      <c r="S171" s="109">
        <v>1.4999999999999999E-2</v>
      </c>
    </row>
    <row r="172" spans="2:19" x14ac:dyDescent="0.25">
      <c r="B172" s="34">
        <v>170</v>
      </c>
      <c r="D172" s="106">
        <v>100</v>
      </c>
      <c r="E172" s="106">
        <v>100</v>
      </c>
      <c r="F172" s="106">
        <v>350</v>
      </c>
      <c r="P172" s="42">
        <f t="shared" si="10"/>
        <v>574.28571428571445</v>
      </c>
      <c r="Q172" s="107" t="s">
        <v>140</v>
      </c>
      <c r="R172" s="42">
        <f t="shared" si="11"/>
        <v>9188.5714285714312</v>
      </c>
      <c r="S172" s="109">
        <v>1.4999999999999999E-2</v>
      </c>
    </row>
    <row r="173" spans="2:19" x14ac:dyDescent="0.25">
      <c r="B173" s="34">
        <v>171</v>
      </c>
      <c r="D173" s="106">
        <v>100</v>
      </c>
      <c r="E173" s="106">
        <v>100</v>
      </c>
      <c r="F173" s="106">
        <v>350</v>
      </c>
      <c r="P173" s="42">
        <f t="shared" si="10"/>
        <v>578.57142857142878</v>
      </c>
      <c r="Q173" s="107" t="s">
        <v>140</v>
      </c>
      <c r="R173" s="42">
        <f t="shared" si="11"/>
        <v>9257.1428571428605</v>
      </c>
      <c r="S173" s="109">
        <v>1.4999999999999999E-2</v>
      </c>
    </row>
    <row r="174" spans="2:19" x14ac:dyDescent="0.25">
      <c r="B174" s="34">
        <v>172</v>
      </c>
      <c r="D174" s="106">
        <v>100</v>
      </c>
      <c r="E174" s="106">
        <v>100</v>
      </c>
      <c r="F174" s="106">
        <v>350</v>
      </c>
      <c r="P174" s="42">
        <f t="shared" si="10"/>
        <v>582.85714285714312</v>
      </c>
      <c r="Q174" s="107" t="s">
        <v>140</v>
      </c>
      <c r="R174" s="42">
        <f t="shared" si="11"/>
        <v>9325.7142857142899</v>
      </c>
      <c r="S174" s="109">
        <v>1.4999999999999999E-2</v>
      </c>
    </row>
    <row r="175" spans="2:19" x14ac:dyDescent="0.25">
      <c r="B175" s="34">
        <v>173</v>
      </c>
      <c r="D175" s="106">
        <v>100</v>
      </c>
      <c r="E175" s="106">
        <v>100</v>
      </c>
      <c r="F175" s="106">
        <v>350</v>
      </c>
      <c r="P175" s="42">
        <f t="shared" si="10"/>
        <v>587.14285714285745</v>
      </c>
      <c r="Q175" s="107" t="s">
        <v>140</v>
      </c>
      <c r="R175" s="42">
        <f t="shared" si="11"/>
        <v>9394.285714285721</v>
      </c>
      <c r="S175" s="109">
        <v>1.4999999999999999E-2</v>
      </c>
    </row>
    <row r="176" spans="2:19" x14ac:dyDescent="0.25">
      <c r="B176" s="34">
        <v>174</v>
      </c>
      <c r="D176" s="106">
        <v>100</v>
      </c>
      <c r="E176" s="106">
        <v>100</v>
      </c>
      <c r="F176" s="106">
        <v>350</v>
      </c>
      <c r="P176" s="42">
        <f t="shared" si="10"/>
        <v>591.42857142857179</v>
      </c>
      <c r="Q176" s="107" t="s">
        <v>140</v>
      </c>
      <c r="R176" s="42">
        <f t="shared" si="11"/>
        <v>9462.8571428571486</v>
      </c>
      <c r="S176" s="109">
        <v>1.4999999999999999E-2</v>
      </c>
    </row>
    <row r="177" spans="2:19" x14ac:dyDescent="0.25">
      <c r="B177" s="34">
        <v>175</v>
      </c>
      <c r="D177" s="106">
        <v>100</v>
      </c>
      <c r="E177" s="106">
        <v>100</v>
      </c>
      <c r="F177" s="106">
        <v>350</v>
      </c>
      <c r="P177" s="42">
        <f t="shared" si="10"/>
        <v>595.71428571428612</v>
      </c>
      <c r="Q177" s="107" t="s">
        <v>140</v>
      </c>
      <c r="R177" s="42">
        <f t="shared" si="11"/>
        <v>9531.4285714285779</v>
      </c>
      <c r="S177" s="109">
        <v>1.4999999999999999E-2</v>
      </c>
    </row>
    <row r="178" spans="2:19" x14ac:dyDescent="0.25">
      <c r="B178" s="34">
        <v>176</v>
      </c>
      <c r="D178" s="106">
        <v>100</v>
      </c>
      <c r="E178" s="106">
        <v>100</v>
      </c>
      <c r="F178" s="106">
        <v>350</v>
      </c>
      <c r="P178" s="42">
        <f t="shared" si="10"/>
        <v>600.00000000000045</v>
      </c>
      <c r="Q178" s="107" t="s">
        <v>140</v>
      </c>
      <c r="R178" s="42">
        <f t="shared" si="11"/>
        <v>9600.0000000000073</v>
      </c>
      <c r="S178" s="109">
        <v>1.4999999999999999E-2</v>
      </c>
    </row>
    <row r="179" spans="2:19" x14ac:dyDescent="0.25">
      <c r="B179" s="34">
        <v>177</v>
      </c>
      <c r="D179" s="106">
        <v>100</v>
      </c>
      <c r="E179" s="106">
        <v>100</v>
      </c>
      <c r="F179" s="106">
        <v>350</v>
      </c>
      <c r="P179" s="42">
        <f t="shared" si="10"/>
        <v>604.28571428571479</v>
      </c>
      <c r="Q179" s="107" t="s">
        <v>140</v>
      </c>
      <c r="R179" s="42">
        <f t="shared" si="11"/>
        <v>9668.5714285714366</v>
      </c>
      <c r="S179" s="109">
        <v>1.4999999999999999E-2</v>
      </c>
    </row>
    <row r="180" spans="2:19" x14ac:dyDescent="0.25">
      <c r="B180" s="34">
        <v>178</v>
      </c>
      <c r="D180" s="106">
        <v>100</v>
      </c>
      <c r="E180" s="106">
        <v>100</v>
      </c>
      <c r="F180" s="106">
        <v>350</v>
      </c>
      <c r="P180" s="42">
        <f t="shared" si="10"/>
        <v>608.57142857142912</v>
      </c>
      <c r="Q180" s="107" t="s">
        <v>140</v>
      </c>
      <c r="R180" s="42">
        <f t="shared" si="11"/>
        <v>9737.142857142866</v>
      </c>
      <c r="S180" s="109">
        <v>1.4999999999999999E-2</v>
      </c>
    </row>
    <row r="181" spans="2:19" x14ac:dyDescent="0.25">
      <c r="B181" s="34">
        <v>179</v>
      </c>
      <c r="D181" s="106">
        <v>100</v>
      </c>
      <c r="E181" s="106">
        <v>100</v>
      </c>
      <c r="F181" s="106">
        <v>350</v>
      </c>
      <c r="P181" s="42">
        <f t="shared" si="10"/>
        <v>612.85714285714346</v>
      </c>
      <c r="Q181" s="107" t="s">
        <v>140</v>
      </c>
      <c r="R181" s="42">
        <f t="shared" si="11"/>
        <v>9805.7142857142953</v>
      </c>
      <c r="S181" s="109">
        <v>1.4999999999999999E-2</v>
      </c>
    </row>
    <row r="182" spans="2:19" x14ac:dyDescent="0.25">
      <c r="B182" s="34">
        <v>180</v>
      </c>
      <c r="D182" s="106">
        <v>100</v>
      </c>
      <c r="E182" s="106">
        <v>100</v>
      </c>
      <c r="F182" s="106">
        <v>1400</v>
      </c>
      <c r="P182" s="42">
        <f t="shared" si="10"/>
        <v>617.14285714285779</v>
      </c>
      <c r="Q182" s="107" t="s">
        <v>140</v>
      </c>
      <c r="R182" s="42">
        <f t="shared" si="11"/>
        <v>9874.2857142857247</v>
      </c>
      <c r="S182" s="109">
        <v>1.4999999999999999E-2</v>
      </c>
    </row>
    <row r="183" spans="2:19" x14ac:dyDescent="0.25">
      <c r="B183" s="34" t="s">
        <v>133</v>
      </c>
      <c r="C183" s="52">
        <f>SUBTOTAL(109,Table21[Costo de 
Alevines])</f>
        <v>18500</v>
      </c>
      <c r="D183" s="52">
        <f>SUBTOTAL(109,Table21[Renta de 
Estanque])</f>
        <v>18000</v>
      </c>
      <c r="E183" s="52">
        <f>SUBTOTAL(109,Table21[Renta de 
Aereadores])</f>
        <v>9900</v>
      </c>
      <c r="F183" s="52">
        <f>SUBTOTAL(109,Table21[Mano de
Obra])</f>
        <v>64050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1-2024</vt:lpstr>
      <vt:lpstr>1-2025</vt:lpstr>
      <vt:lpstr>2-2025</vt:lpstr>
      <vt:lpstr>3-2025</vt:lpstr>
      <vt:lpstr>Parametros</vt:lpstr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Ara</dc:creator>
  <cp:lastModifiedBy>Juan Ara</cp:lastModifiedBy>
  <cp:lastPrinted>2025-09-13T07:50:31Z</cp:lastPrinted>
  <dcterms:created xsi:type="dcterms:W3CDTF">2025-07-24T17:58:51Z</dcterms:created>
  <dcterms:modified xsi:type="dcterms:W3CDTF">2026-06-09T03:00:27Z</dcterms:modified>
</cp:coreProperties>
</file>