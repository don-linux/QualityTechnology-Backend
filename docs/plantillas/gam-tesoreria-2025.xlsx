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1dc0cd5a6abbff4/Documentos/Grupo Empresarial/AquaTech 360/Archivos Ejemplos/"/>
    </mc:Choice>
  </mc:AlternateContent>
  <xr:revisionPtr revIDLastSave="1870" documentId="14_{138D54EB-2E7B-4188-B179-1AFA3944FDA4}" xr6:coauthVersionLast="47" xr6:coauthVersionMax="47" xr10:uidLastSave="{6181598F-6D67-4542-9E72-5779EC9392C7}"/>
  <bookViews>
    <workbookView xWindow="-110" yWindow="-110" windowWidth="25820" windowHeight="13900" tabRatio="500" activeTab="2" xr2:uid="{00000000-000D-0000-FFFF-FFFF00000000}"/>
  </bookViews>
  <sheets>
    <sheet name="Tesoreria Overview" sheetId="1" r:id="rId1"/>
    <sheet name="Cuentas" sheetId="3" r:id="rId2"/>
    <sheet name="Entradas y Salidas" sheetId="4" r:id="rId3"/>
    <sheet name="Estimado" sheetId="7" r:id="rId4"/>
  </sheets>
  <externalReferences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4" i="1" l="1"/>
  <c r="M74" i="1"/>
  <c r="L74" i="1"/>
  <c r="K74" i="1"/>
  <c r="J74" i="1"/>
  <c r="I74" i="1"/>
  <c r="H74" i="1"/>
  <c r="G74" i="1"/>
  <c r="F74" i="1"/>
  <c r="E74" i="1"/>
  <c r="D74" i="1"/>
  <c r="C74" i="1"/>
  <c r="L504" i="4"/>
  <c r="L505" i="4" s="1"/>
  <c r="L506" i="4" s="1"/>
  <c r="L507" i="4" s="1"/>
  <c r="L508" i="4" s="1"/>
  <c r="L509" i="4" s="1"/>
  <c r="L510" i="4" s="1"/>
  <c r="L511" i="4" s="1"/>
  <c r="L512" i="4" s="1"/>
  <c r="L513" i="4" s="1"/>
  <c r="L514" i="4" s="1"/>
  <c r="L515" i="4" s="1"/>
  <c r="L516" i="4" s="1"/>
  <c r="L517" i="4" s="1"/>
  <c r="L518" i="4" s="1"/>
  <c r="L519" i="4" s="1"/>
  <c r="L520" i="4" s="1"/>
  <c r="L521" i="4" l="1"/>
  <c r="O74" i="1"/>
  <c r="L522" i="4" l="1"/>
  <c r="L523" i="4" s="1"/>
  <c r="L524" i="4" s="1"/>
  <c r="L525" i="4" s="1"/>
  <c r="L526" i="4" s="1"/>
  <c r="L527" i="4" s="1"/>
  <c r="L528" i="4" s="1"/>
  <c r="L529" i="4" s="1"/>
  <c r="L530" i="4" s="1"/>
  <c r="L531" i="4" s="1"/>
  <c r="L532" i="4" s="1"/>
  <c r="L533" i="4" s="1"/>
  <c r="L534" i="4" s="1"/>
  <c r="L535" i="4" s="1"/>
  <c r="L536" i="4" s="1"/>
  <c r="L537" i="4" s="1"/>
  <c r="L538" i="4" s="1"/>
  <c r="L539" i="4" s="1"/>
  <c r="L540" i="4" s="1"/>
  <c r="L541" i="4" s="1"/>
  <c r="L542" i="4" s="1"/>
  <c r="L543" i="4" s="1"/>
  <c r="L544" i="4" s="1"/>
  <c r="L545" i="4" s="1"/>
  <c r="L546" i="4" s="1"/>
  <c r="L547" i="4" s="1"/>
  <c r="L548" i="4" s="1"/>
  <c r="L549" i="4" l="1"/>
  <c r="L550" i="4" s="1"/>
  <c r="L551" i="4" s="1"/>
  <c r="L552" i="4" s="1"/>
  <c r="L553" i="4" s="1"/>
  <c r="L554" i="4" s="1"/>
  <c r="L555" i="4" s="1"/>
  <c r="L556" i="4" s="1"/>
  <c r="L557" i="4" s="1"/>
  <c r="L558" i="4" s="1"/>
  <c r="L559" i="4" s="1"/>
  <c r="L560" i="4" s="1"/>
  <c r="L561" i="4" s="1"/>
  <c r="L562" i="4" s="1"/>
  <c r="L563" i="4" s="1"/>
  <c r="L423" i="4"/>
  <c r="L424" i="4" s="1"/>
  <c r="L425" i="4" s="1"/>
  <c r="L426" i="4" s="1"/>
  <c r="L427" i="4" s="1"/>
  <c r="L428" i="4" s="1"/>
  <c r="L429" i="4" s="1"/>
  <c r="L430" i="4" s="1"/>
  <c r="L431" i="4" s="1"/>
  <c r="L432" i="4" s="1"/>
  <c r="L433" i="4" s="1"/>
  <c r="L564" i="4" l="1"/>
  <c r="L565" i="4" s="1"/>
  <c r="L566" i="4" s="1"/>
  <c r="L567" i="4" s="1"/>
  <c r="L434" i="4"/>
  <c r="L435" i="4" s="1"/>
  <c r="L568" i="4" l="1"/>
  <c r="L569" i="4" s="1"/>
  <c r="L570" i="4" s="1"/>
  <c r="L571" i="4" s="1"/>
  <c r="L572" i="4" s="1"/>
  <c r="L573" i="4" s="1"/>
  <c r="L574" i="4" s="1"/>
  <c r="L575" i="4" s="1"/>
  <c r="L576" i="4" s="1"/>
  <c r="L577" i="4" s="1"/>
  <c r="L578" i="4" s="1"/>
  <c r="L579" i="4" s="1"/>
  <c r="L580" i="4" s="1"/>
  <c r="L581" i="4" s="1"/>
  <c r="L436" i="4"/>
  <c r="L437" i="4" s="1"/>
  <c r="L438" i="4" s="1"/>
  <c r="L439" i="4" s="1"/>
  <c r="L582" i="4" l="1"/>
  <c r="L583" i="4" s="1"/>
  <c r="L584" i="4" s="1"/>
  <c r="L585" i="4" s="1"/>
  <c r="L586" i="4" s="1"/>
  <c r="L587" i="4" s="1"/>
  <c r="L588" i="4" s="1"/>
  <c r="L589" i="4" s="1"/>
  <c r="L590" i="4" s="1"/>
  <c r="L591" i="4" s="1"/>
  <c r="L592" i="4" s="1"/>
  <c r="L593" i="4" s="1"/>
  <c r="L594" i="4" s="1"/>
  <c r="L595" i="4" s="1"/>
  <c r="L596" i="4" s="1"/>
  <c r="L597" i="4" s="1"/>
  <c r="L598" i="4" s="1"/>
  <c r="L599" i="4" s="1"/>
  <c r="L600" i="4" s="1"/>
  <c r="L601" i="4" s="1"/>
  <c r="L602" i="4" s="1"/>
  <c r="L603" i="4" s="1"/>
  <c r="L604" i="4" s="1"/>
  <c r="L605" i="4" s="1"/>
  <c r="L606" i="4" s="1"/>
  <c r="L607" i="4" s="1"/>
  <c r="L608" i="4" s="1"/>
  <c r="L609" i="4" s="1"/>
  <c r="L610" i="4" s="1"/>
  <c r="L611" i="4" s="1"/>
  <c r="L612" i="4" s="1"/>
  <c r="L613" i="4" s="1"/>
  <c r="L614" i="4" s="1"/>
  <c r="L615" i="4" s="1"/>
  <c r="L616" i="4" s="1"/>
  <c r="L440" i="4"/>
  <c r="L441" i="4" l="1"/>
  <c r="L442" i="4" s="1"/>
  <c r="L443" i="4" l="1"/>
  <c r="L444" i="4" s="1"/>
  <c r="L445" i="4" s="1"/>
  <c r="L446" i="4" s="1"/>
  <c r="L447" i="4" s="1"/>
  <c r="L448" i="4" s="1"/>
  <c r="L449" i="4" s="1"/>
  <c r="L450" i="4" s="1"/>
  <c r="L451" i="4" s="1"/>
  <c r="L452" i="4" s="1"/>
  <c r="L453" i="4" s="1"/>
  <c r="L454" i="4" s="1"/>
  <c r="L455" i="4" s="1"/>
  <c r="L456" i="4" s="1"/>
  <c r="L457" i="4" s="1"/>
  <c r="L458" i="4" s="1"/>
  <c r="L459" i="4" s="1"/>
  <c r="L460" i="4" s="1"/>
  <c r="L461" i="4" s="1"/>
  <c r="L462" i="4" s="1"/>
  <c r="L463" i="4" s="1"/>
  <c r="L464" i="4" s="1"/>
  <c r="L465" i="4" s="1"/>
  <c r="L466" i="4" s="1"/>
  <c r="L467" i="4" s="1"/>
  <c r="L468" i="4" s="1"/>
  <c r="L469" i="4" s="1"/>
  <c r="L470" i="4" s="1"/>
  <c r="L471" i="4" s="1"/>
  <c r="L472" i="4" s="1"/>
  <c r="L473" i="4" s="1"/>
  <c r="L474" i="4" s="1"/>
  <c r="L475" i="4" s="1"/>
  <c r="C82" i="1"/>
  <c r="D82" i="1"/>
  <c r="E82" i="1"/>
  <c r="F82" i="1"/>
  <c r="G82" i="1"/>
  <c r="H82" i="1"/>
  <c r="I82" i="1"/>
  <c r="J82" i="1"/>
  <c r="K82" i="1"/>
  <c r="L82" i="1"/>
  <c r="M82" i="1"/>
  <c r="N82" i="1"/>
  <c r="L342" i="4"/>
  <c r="L476" i="4" l="1"/>
  <c r="L477" i="4" s="1"/>
  <c r="L478" i="4" s="1"/>
  <c r="L479" i="4" s="1"/>
  <c r="L480" i="4" s="1"/>
  <c r="O82" i="1"/>
  <c r="L343" i="4"/>
  <c r="L481" i="4" l="1"/>
  <c r="L344" i="4"/>
  <c r="L345" i="4" s="1"/>
  <c r="L346" i="4" s="1"/>
  <c r="L347" i="4" s="1"/>
  <c r="L348" i="4" s="1"/>
  <c r="L482" i="4" l="1"/>
  <c r="L483" i="4" s="1"/>
  <c r="L484" i="4" s="1"/>
  <c r="L485" i="4" s="1"/>
  <c r="L486" i="4" s="1"/>
  <c r="L487" i="4" s="1"/>
  <c r="L488" i="4" s="1"/>
  <c r="L489" i="4" s="1"/>
  <c r="L490" i="4" s="1"/>
  <c r="L491" i="4" s="1"/>
  <c r="L492" i="4" s="1"/>
  <c r="L493" i="4" s="1"/>
  <c r="L494" i="4" s="1"/>
  <c r="L495" i="4" s="1"/>
  <c r="L496" i="4" s="1"/>
  <c r="L497" i="4" s="1"/>
  <c r="L498" i="4" s="1"/>
  <c r="L499" i="4" s="1"/>
  <c r="L349" i="4"/>
  <c r="L350" i="4" s="1"/>
  <c r="L351" i="4" s="1"/>
  <c r="L352" i="4" s="1"/>
  <c r="L353" i="4" s="1"/>
  <c r="L273" i="4" l="1"/>
  <c r="D110" i="4"/>
  <c r="E110" i="4"/>
  <c r="L51" i="4" l="1"/>
  <c r="L52" i="4" s="1"/>
  <c r="L53" i="4" s="1"/>
  <c r="L54" i="4" s="1"/>
  <c r="L55" i="4" l="1"/>
  <c r="L56" i="4" s="1"/>
  <c r="L57" i="4" l="1"/>
  <c r="L58" i="4" s="1"/>
  <c r="L59" i="4" s="1"/>
  <c r="L60" i="4" l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l="1"/>
  <c r="L78" i="4" s="1"/>
  <c r="L79" i="4" s="1"/>
  <c r="L80" i="4" l="1"/>
  <c r="L81" i="4" s="1"/>
  <c r="C73" i="1"/>
  <c r="D73" i="1"/>
  <c r="E73" i="1"/>
  <c r="F73" i="1"/>
  <c r="G73" i="1"/>
  <c r="H73" i="1"/>
  <c r="I73" i="1"/>
  <c r="J73" i="1"/>
  <c r="K73" i="1"/>
  <c r="L73" i="1"/>
  <c r="M73" i="1"/>
  <c r="N73" i="1"/>
  <c r="L82" i="4" l="1"/>
  <c r="L83" i="4" s="1"/>
  <c r="L84" i="4" s="1"/>
  <c r="O73" i="1"/>
  <c r="L85" i="4" l="1"/>
  <c r="L86" i="4" s="1"/>
  <c r="L87" i="4" s="1"/>
  <c r="L88" i="4" s="1"/>
  <c r="L89" i="4" s="1"/>
  <c r="L90" i="4" s="1"/>
  <c r="L91" i="4" s="1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L6" i="4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l="1"/>
  <c r="L18" i="4" s="1"/>
  <c r="C81" i="1"/>
  <c r="D81" i="1"/>
  <c r="E81" i="1"/>
  <c r="F81" i="1"/>
  <c r="G81" i="1"/>
  <c r="H81" i="1"/>
  <c r="I81" i="1"/>
  <c r="J81" i="1"/>
  <c r="K81" i="1"/>
  <c r="L81" i="1"/>
  <c r="M81" i="1"/>
  <c r="N81" i="1"/>
  <c r="L177" i="4"/>
  <c r="L178" i="4" s="1"/>
  <c r="L179" i="4" s="1"/>
  <c r="L180" i="4" s="1"/>
  <c r="L181" i="4" s="1"/>
  <c r="L182" i="4" s="1"/>
  <c r="L183" i="4" s="1"/>
  <c r="L184" i="4" s="1"/>
  <c r="L185" i="4" s="1"/>
  <c r="L186" i="4" s="1"/>
  <c r="L187" i="4" s="1"/>
  <c r="L188" i="4" s="1"/>
  <c r="L189" i="4" s="1"/>
  <c r="L190" i="4" s="1"/>
  <c r="L191" i="4" s="1"/>
  <c r="L192" i="4" s="1"/>
  <c r="L193" i="4" s="1"/>
  <c r="L194" i="4" s="1"/>
  <c r="L195" i="4" l="1"/>
  <c r="L196" i="4" s="1"/>
  <c r="L19" i="4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O81" i="1"/>
  <c r="L197" i="4" l="1"/>
  <c r="L32" i="4"/>
  <c r="C85" i="1"/>
  <c r="D85" i="1"/>
  <c r="E85" i="1"/>
  <c r="F85" i="1"/>
  <c r="G85" i="1"/>
  <c r="H85" i="1"/>
  <c r="I85" i="1"/>
  <c r="J85" i="1"/>
  <c r="K85" i="1"/>
  <c r="L85" i="1"/>
  <c r="M85" i="1"/>
  <c r="N85" i="1"/>
  <c r="L33" i="4" l="1"/>
  <c r="L34" i="4" s="1"/>
  <c r="L35" i="4" s="1"/>
  <c r="L198" i="4"/>
  <c r="L199" i="4" s="1"/>
  <c r="L200" i="4" s="1"/>
  <c r="L201" i="4" s="1"/>
  <c r="L202" i="4" s="1"/>
  <c r="O85" i="1"/>
  <c r="L36" i="4" l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203" i="4"/>
  <c r="L204" i="4" s="1"/>
  <c r="L205" i="4" s="1"/>
  <c r="L206" i="4" s="1"/>
  <c r="L207" i="4" s="1"/>
  <c r="L208" i="4" s="1"/>
  <c r="L209" i="4" s="1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C43" i="1" l="1"/>
  <c r="D43" i="1"/>
  <c r="E43" i="1"/>
  <c r="F43" i="1"/>
  <c r="G43" i="1"/>
  <c r="H43" i="1"/>
  <c r="I43" i="1"/>
  <c r="J43" i="1"/>
  <c r="K43" i="1"/>
  <c r="L43" i="1"/>
  <c r="M43" i="1"/>
  <c r="N43" i="1"/>
  <c r="O43" i="1" l="1"/>
  <c r="C14" i="1" l="1"/>
  <c r="D14" i="1"/>
  <c r="E14" i="1"/>
  <c r="F14" i="1"/>
  <c r="G14" i="1"/>
  <c r="H14" i="1"/>
  <c r="I14" i="1"/>
  <c r="J14" i="1"/>
  <c r="K14" i="1"/>
  <c r="L14" i="1"/>
  <c r="M14" i="1"/>
  <c r="N14" i="1"/>
  <c r="O14" i="1" l="1"/>
  <c r="C84" i="1" l="1"/>
  <c r="D84" i="1"/>
  <c r="E84" i="1"/>
  <c r="F84" i="1"/>
  <c r="G84" i="1"/>
  <c r="H84" i="1"/>
  <c r="I84" i="1"/>
  <c r="J84" i="1"/>
  <c r="K84" i="1"/>
  <c r="L84" i="1"/>
  <c r="M84" i="1"/>
  <c r="N84" i="1"/>
  <c r="O84" i="1" l="1"/>
  <c r="C47" i="1" l="1"/>
  <c r="D47" i="1"/>
  <c r="E47" i="1"/>
  <c r="F47" i="1"/>
  <c r="G47" i="1"/>
  <c r="H47" i="1"/>
  <c r="I47" i="1"/>
  <c r="J47" i="1"/>
  <c r="K47" i="1"/>
  <c r="L47" i="1"/>
  <c r="M47" i="1"/>
  <c r="N47" i="1"/>
  <c r="C48" i="1"/>
  <c r="D48" i="1"/>
  <c r="E48" i="1"/>
  <c r="F48" i="1"/>
  <c r="G48" i="1"/>
  <c r="H48" i="1"/>
  <c r="I48" i="1"/>
  <c r="J48" i="1"/>
  <c r="K48" i="1"/>
  <c r="L48" i="1"/>
  <c r="M48" i="1"/>
  <c r="N48" i="1"/>
  <c r="C49" i="1"/>
  <c r="D49" i="1"/>
  <c r="E49" i="1"/>
  <c r="F49" i="1"/>
  <c r="G49" i="1"/>
  <c r="H49" i="1"/>
  <c r="I49" i="1"/>
  <c r="J49" i="1"/>
  <c r="K49" i="1"/>
  <c r="L49" i="1"/>
  <c r="M49" i="1"/>
  <c r="N49" i="1"/>
  <c r="C39" i="1"/>
  <c r="D39" i="1"/>
  <c r="E39" i="1"/>
  <c r="F39" i="1"/>
  <c r="G39" i="1"/>
  <c r="H39" i="1"/>
  <c r="I39" i="1"/>
  <c r="J39" i="1"/>
  <c r="K39" i="1"/>
  <c r="L39" i="1"/>
  <c r="M39" i="1"/>
  <c r="N39" i="1"/>
  <c r="C88" i="1"/>
  <c r="D88" i="1"/>
  <c r="E88" i="1"/>
  <c r="F88" i="1"/>
  <c r="G88" i="1"/>
  <c r="H88" i="1"/>
  <c r="I88" i="1"/>
  <c r="J88" i="1"/>
  <c r="K88" i="1"/>
  <c r="L88" i="1"/>
  <c r="M88" i="1"/>
  <c r="N88" i="1"/>
  <c r="L274" i="4"/>
  <c r="L275" i="4" s="1"/>
  <c r="L276" i="4" s="1"/>
  <c r="L277" i="4" s="1"/>
  <c r="L278" i="4" s="1"/>
  <c r="L279" i="4" s="1"/>
  <c r="L280" i="4" s="1"/>
  <c r="L281" i="4" s="1"/>
  <c r="L282" i="4" s="1"/>
  <c r="L283" i="4" s="1"/>
  <c r="L284" i="4" s="1"/>
  <c r="L285" i="4" s="1"/>
  <c r="L286" i="4" s="1"/>
  <c r="L287" i="4" s="1"/>
  <c r="L288" i="4" s="1"/>
  <c r="L289" i="4" s="1"/>
  <c r="L290" i="4" s="1"/>
  <c r="L230" i="4"/>
  <c r="L231" i="4" s="1"/>
  <c r="L232" i="4" s="1"/>
  <c r="L233" i="4" s="1"/>
  <c r="C83" i="1"/>
  <c r="D83" i="1"/>
  <c r="E83" i="1"/>
  <c r="F83" i="1"/>
  <c r="G83" i="1"/>
  <c r="H83" i="1"/>
  <c r="I83" i="1"/>
  <c r="J83" i="1"/>
  <c r="K83" i="1"/>
  <c r="L83" i="1"/>
  <c r="M83" i="1"/>
  <c r="N83" i="1"/>
  <c r="C79" i="1"/>
  <c r="D79" i="1"/>
  <c r="E79" i="1"/>
  <c r="F79" i="1"/>
  <c r="G79" i="1"/>
  <c r="H79" i="1"/>
  <c r="I79" i="1"/>
  <c r="J79" i="1"/>
  <c r="K79" i="1"/>
  <c r="L79" i="1"/>
  <c r="M79" i="1"/>
  <c r="N79" i="1"/>
  <c r="C80" i="1"/>
  <c r="D80" i="1"/>
  <c r="E80" i="1"/>
  <c r="F80" i="1"/>
  <c r="G80" i="1"/>
  <c r="H80" i="1"/>
  <c r="I80" i="1"/>
  <c r="J80" i="1"/>
  <c r="K80" i="1"/>
  <c r="L80" i="1"/>
  <c r="M80" i="1"/>
  <c r="N80" i="1"/>
  <c r="C11" i="7"/>
  <c r="C12" i="7"/>
  <c r="C13" i="7"/>
  <c r="C14" i="7"/>
  <c r="C15" i="7"/>
  <c r="C16" i="7"/>
  <c r="C17" i="7"/>
  <c r="C18" i="7"/>
  <c r="C19" i="7"/>
  <c r="C20" i="7"/>
  <c r="C31" i="1"/>
  <c r="D11" i="7"/>
  <c r="D22" i="7" s="1"/>
  <c r="D4" i="7" s="1"/>
  <c r="D12" i="7"/>
  <c r="D13" i="7"/>
  <c r="D14" i="7"/>
  <c r="D15" i="7"/>
  <c r="D16" i="7"/>
  <c r="D17" i="7"/>
  <c r="D18" i="7"/>
  <c r="O18" i="7" s="1"/>
  <c r="D19" i="7"/>
  <c r="O19" i="7" s="1"/>
  <c r="D20" i="7"/>
  <c r="D31" i="1"/>
  <c r="E11" i="7"/>
  <c r="E12" i="7"/>
  <c r="E13" i="7"/>
  <c r="E14" i="7"/>
  <c r="E15" i="7"/>
  <c r="E16" i="7"/>
  <c r="E17" i="7"/>
  <c r="E22" i="7" s="1"/>
  <c r="E4" i="7" s="1"/>
  <c r="E18" i="7"/>
  <c r="E19" i="7"/>
  <c r="E20" i="7"/>
  <c r="E31" i="1"/>
  <c r="F11" i="7"/>
  <c r="F12" i="7"/>
  <c r="F22" i="7" s="1"/>
  <c r="F4" i="7" s="1"/>
  <c r="F13" i="7"/>
  <c r="F14" i="7"/>
  <c r="F15" i="7"/>
  <c r="F16" i="7"/>
  <c r="F17" i="7"/>
  <c r="F18" i="7"/>
  <c r="F19" i="7"/>
  <c r="F20" i="7"/>
  <c r="F31" i="1"/>
  <c r="G11" i="7"/>
  <c r="G12" i="7"/>
  <c r="G13" i="7"/>
  <c r="G14" i="7"/>
  <c r="G15" i="7"/>
  <c r="G16" i="7"/>
  <c r="G17" i="7"/>
  <c r="G18" i="7"/>
  <c r="G19" i="7"/>
  <c r="G20" i="7"/>
  <c r="G31" i="1"/>
  <c r="H11" i="7"/>
  <c r="H12" i="7"/>
  <c r="H13" i="7"/>
  <c r="H14" i="7"/>
  <c r="H15" i="7"/>
  <c r="H16" i="7"/>
  <c r="H17" i="7"/>
  <c r="H18" i="7"/>
  <c r="H19" i="7"/>
  <c r="H20" i="7"/>
  <c r="H31" i="1"/>
  <c r="I11" i="7"/>
  <c r="I12" i="7"/>
  <c r="I13" i="7"/>
  <c r="I14" i="7"/>
  <c r="I15" i="7"/>
  <c r="I16" i="7"/>
  <c r="I17" i="7"/>
  <c r="I18" i="7"/>
  <c r="I19" i="7"/>
  <c r="I20" i="7"/>
  <c r="I31" i="1"/>
  <c r="J11" i="7"/>
  <c r="J22" i="7" s="1"/>
  <c r="J4" i="7" s="1"/>
  <c r="J12" i="7"/>
  <c r="J13" i="7"/>
  <c r="J14" i="7"/>
  <c r="J15" i="7"/>
  <c r="J16" i="7"/>
  <c r="J17" i="7"/>
  <c r="J18" i="7"/>
  <c r="J19" i="7"/>
  <c r="J20" i="7"/>
  <c r="J31" i="1"/>
  <c r="K11" i="7"/>
  <c r="K12" i="7"/>
  <c r="K13" i="7"/>
  <c r="K14" i="7"/>
  <c r="K15" i="7"/>
  <c r="K22" i="7" s="1"/>
  <c r="K4" i="7" s="1"/>
  <c r="K16" i="7"/>
  <c r="K17" i="7"/>
  <c r="K18" i="7"/>
  <c r="K19" i="7"/>
  <c r="K20" i="7"/>
  <c r="K31" i="1"/>
  <c r="L11" i="7"/>
  <c r="L22" i="7" s="1"/>
  <c r="L4" i="7" s="1"/>
  <c r="L12" i="7"/>
  <c r="L13" i="7"/>
  <c r="L14" i="7"/>
  <c r="L15" i="7"/>
  <c r="L16" i="7"/>
  <c r="L17" i="7"/>
  <c r="L18" i="7"/>
  <c r="L19" i="7"/>
  <c r="L20" i="7"/>
  <c r="L31" i="1"/>
  <c r="M11" i="7"/>
  <c r="M12" i="7"/>
  <c r="M13" i="7"/>
  <c r="M14" i="7"/>
  <c r="M15" i="7"/>
  <c r="M16" i="7"/>
  <c r="M17" i="7"/>
  <c r="M18" i="7"/>
  <c r="M19" i="7"/>
  <c r="M22" i="7" s="1"/>
  <c r="M4" i="7" s="1"/>
  <c r="M20" i="7"/>
  <c r="M31" i="1"/>
  <c r="N11" i="7"/>
  <c r="N22" i="7" s="1"/>
  <c r="N4" i="7" s="1"/>
  <c r="N12" i="7"/>
  <c r="N13" i="7"/>
  <c r="N14" i="7"/>
  <c r="N15" i="7"/>
  <c r="N16" i="7"/>
  <c r="N17" i="7"/>
  <c r="N18" i="7"/>
  <c r="N19" i="7"/>
  <c r="N20" i="7"/>
  <c r="N31" i="1"/>
  <c r="C67" i="7"/>
  <c r="C68" i="7"/>
  <c r="C69" i="7"/>
  <c r="C70" i="7"/>
  <c r="C71" i="7"/>
  <c r="C72" i="7"/>
  <c r="C60" i="7"/>
  <c r="C65" i="7" s="1"/>
  <c r="C74" i="7" s="1"/>
  <c r="C61" i="7"/>
  <c r="C62" i="7"/>
  <c r="C63" i="7"/>
  <c r="C64" i="7"/>
  <c r="C49" i="7"/>
  <c r="C50" i="7"/>
  <c r="C51" i="7"/>
  <c r="C52" i="7"/>
  <c r="C53" i="7"/>
  <c r="C54" i="7"/>
  <c r="C55" i="7"/>
  <c r="C56" i="7"/>
  <c r="C57" i="7"/>
  <c r="C35" i="7"/>
  <c r="C47" i="7" s="1"/>
  <c r="C36" i="7"/>
  <c r="C37" i="7"/>
  <c r="C27" i="7"/>
  <c r="C38" i="7"/>
  <c r="C39" i="7"/>
  <c r="C40" i="7"/>
  <c r="C41" i="7"/>
  <c r="C42" i="7"/>
  <c r="C43" i="7"/>
  <c r="C44" i="7"/>
  <c r="C45" i="7"/>
  <c r="C46" i="7"/>
  <c r="D67" i="7"/>
  <c r="D68" i="7"/>
  <c r="D69" i="7"/>
  <c r="D70" i="7"/>
  <c r="D71" i="7"/>
  <c r="D60" i="7"/>
  <c r="D61" i="7"/>
  <c r="D62" i="7"/>
  <c r="D63" i="7"/>
  <c r="D64" i="7"/>
  <c r="D65" i="7"/>
  <c r="D49" i="7"/>
  <c r="D58" i="7" s="1"/>
  <c r="D50" i="7"/>
  <c r="D51" i="7"/>
  <c r="O51" i="7" s="1"/>
  <c r="D52" i="7"/>
  <c r="O52" i="7" s="1"/>
  <c r="D53" i="7"/>
  <c r="D54" i="7"/>
  <c r="D55" i="7"/>
  <c r="D56" i="7"/>
  <c r="D57" i="7"/>
  <c r="D35" i="7"/>
  <c r="D36" i="7"/>
  <c r="D37" i="7"/>
  <c r="D38" i="7"/>
  <c r="D39" i="7"/>
  <c r="D40" i="7"/>
  <c r="D47" i="7" s="1"/>
  <c r="D41" i="7"/>
  <c r="D42" i="7"/>
  <c r="D43" i="7"/>
  <c r="D44" i="7"/>
  <c r="D45" i="7"/>
  <c r="D46" i="7"/>
  <c r="E67" i="7"/>
  <c r="E72" i="7" s="1"/>
  <c r="E68" i="7"/>
  <c r="O68" i="7" s="1"/>
  <c r="E69" i="7"/>
  <c r="O69" i="7" s="1"/>
  <c r="E70" i="7"/>
  <c r="E71" i="7"/>
  <c r="E60" i="7"/>
  <c r="E61" i="7"/>
  <c r="E62" i="7"/>
  <c r="E63" i="7"/>
  <c r="E64" i="7"/>
  <c r="E49" i="7"/>
  <c r="E50" i="7"/>
  <c r="E51" i="7"/>
  <c r="E52" i="7"/>
  <c r="E53" i="7"/>
  <c r="E54" i="7"/>
  <c r="E55" i="7"/>
  <c r="E58" i="7" s="1"/>
  <c r="E56" i="7"/>
  <c r="E57" i="7"/>
  <c r="E35" i="7"/>
  <c r="E47" i="7" s="1"/>
  <c r="E36" i="7"/>
  <c r="E37" i="7"/>
  <c r="O37" i="7" s="1"/>
  <c r="E38" i="7"/>
  <c r="E39" i="7"/>
  <c r="E40" i="7"/>
  <c r="E41" i="7"/>
  <c r="E42" i="7"/>
  <c r="E43" i="7"/>
  <c r="E44" i="7"/>
  <c r="E45" i="7"/>
  <c r="E46" i="7"/>
  <c r="F67" i="7"/>
  <c r="F68" i="7"/>
  <c r="F69" i="7"/>
  <c r="F70" i="7"/>
  <c r="F71" i="7"/>
  <c r="F60" i="7"/>
  <c r="F61" i="7"/>
  <c r="F62" i="7"/>
  <c r="F63" i="7"/>
  <c r="F64" i="7"/>
  <c r="F49" i="7"/>
  <c r="F58" i="7" s="1"/>
  <c r="F50" i="7"/>
  <c r="F51" i="7"/>
  <c r="F52" i="7"/>
  <c r="F53" i="7"/>
  <c r="F54" i="7"/>
  <c r="F55" i="7"/>
  <c r="F56" i="7"/>
  <c r="F57" i="7"/>
  <c r="F35" i="7"/>
  <c r="F47" i="7" s="1"/>
  <c r="F36" i="7"/>
  <c r="F37" i="7"/>
  <c r="F38" i="7"/>
  <c r="F39" i="7"/>
  <c r="F40" i="7"/>
  <c r="F41" i="7"/>
  <c r="F42" i="7"/>
  <c r="F43" i="7"/>
  <c r="F44" i="7"/>
  <c r="F45" i="7"/>
  <c r="F46" i="7"/>
  <c r="G67" i="7"/>
  <c r="G72" i="7" s="1"/>
  <c r="G74" i="7" s="1"/>
  <c r="G68" i="7"/>
  <c r="G69" i="7"/>
  <c r="G70" i="7"/>
  <c r="G71" i="7"/>
  <c r="G60" i="7"/>
  <c r="G61" i="7"/>
  <c r="G62" i="7"/>
  <c r="G63" i="7"/>
  <c r="G64" i="7"/>
  <c r="G49" i="7"/>
  <c r="G50" i="7"/>
  <c r="G51" i="7"/>
  <c r="G52" i="7"/>
  <c r="G58" i="7" s="1"/>
  <c r="G53" i="7"/>
  <c r="G54" i="7"/>
  <c r="G55" i="7"/>
  <c r="G56" i="7"/>
  <c r="G57" i="7"/>
  <c r="G35" i="7"/>
  <c r="G47" i="7" s="1"/>
  <c r="G36" i="7"/>
  <c r="G37" i="7"/>
  <c r="G38" i="7"/>
  <c r="G39" i="7"/>
  <c r="G40" i="7"/>
  <c r="G41" i="7"/>
  <c r="G42" i="7"/>
  <c r="G43" i="7"/>
  <c r="G44" i="7"/>
  <c r="G45" i="7"/>
  <c r="G46" i="7"/>
  <c r="H67" i="7"/>
  <c r="H72" i="7" s="1"/>
  <c r="H68" i="7"/>
  <c r="H69" i="7"/>
  <c r="H70" i="7"/>
  <c r="H71" i="7"/>
  <c r="H60" i="7"/>
  <c r="H65" i="7" s="1"/>
  <c r="H61" i="7"/>
  <c r="H62" i="7"/>
  <c r="H63" i="7"/>
  <c r="H64" i="7"/>
  <c r="H49" i="7"/>
  <c r="H58" i="7" s="1"/>
  <c r="H50" i="7"/>
  <c r="H51" i="7"/>
  <c r="H52" i="7"/>
  <c r="H53" i="7"/>
  <c r="H54" i="7"/>
  <c r="H55" i="7"/>
  <c r="H56" i="7"/>
  <c r="H57" i="7"/>
  <c r="H35" i="7"/>
  <c r="H47" i="7" s="1"/>
  <c r="H36" i="7"/>
  <c r="H37" i="7"/>
  <c r="H38" i="7"/>
  <c r="H39" i="7"/>
  <c r="H40" i="7"/>
  <c r="H41" i="7"/>
  <c r="H42" i="7"/>
  <c r="H43" i="7"/>
  <c r="H44" i="7"/>
  <c r="H45" i="7"/>
  <c r="H46" i="7"/>
  <c r="I67" i="7"/>
  <c r="I72" i="7" s="1"/>
  <c r="I74" i="7" s="1"/>
  <c r="I68" i="7"/>
  <c r="I69" i="7"/>
  <c r="I70" i="7"/>
  <c r="I71" i="7"/>
  <c r="I60" i="7"/>
  <c r="I61" i="7"/>
  <c r="I62" i="7"/>
  <c r="I65" i="7" s="1"/>
  <c r="I63" i="7"/>
  <c r="I64" i="7"/>
  <c r="I49" i="7"/>
  <c r="I58" i="7" s="1"/>
  <c r="I50" i="7"/>
  <c r="I51" i="7"/>
  <c r="I52" i="7"/>
  <c r="I53" i="7"/>
  <c r="I54" i="7"/>
  <c r="I55" i="7"/>
  <c r="I56" i="7"/>
  <c r="I57" i="7"/>
  <c r="I35" i="7"/>
  <c r="I36" i="7"/>
  <c r="I37" i="7"/>
  <c r="I38" i="7"/>
  <c r="I39" i="7"/>
  <c r="I40" i="7"/>
  <c r="I41" i="7"/>
  <c r="I42" i="7"/>
  <c r="I43" i="7"/>
  <c r="I44" i="7"/>
  <c r="I45" i="7"/>
  <c r="I46" i="7"/>
  <c r="J67" i="7"/>
  <c r="J72" i="7" s="1"/>
  <c r="J68" i="7"/>
  <c r="J69" i="7"/>
  <c r="J70" i="7"/>
  <c r="J71" i="7"/>
  <c r="J60" i="7"/>
  <c r="J61" i="7"/>
  <c r="J62" i="7"/>
  <c r="J63" i="7"/>
  <c r="J64" i="7"/>
  <c r="J49" i="7"/>
  <c r="J50" i="7"/>
  <c r="J51" i="7"/>
  <c r="J52" i="7"/>
  <c r="J53" i="7"/>
  <c r="J54" i="7"/>
  <c r="J55" i="7"/>
  <c r="J56" i="7"/>
  <c r="J57" i="7"/>
  <c r="J35" i="7"/>
  <c r="J47" i="7" s="1"/>
  <c r="J36" i="7"/>
  <c r="J37" i="7"/>
  <c r="J38" i="7"/>
  <c r="J39" i="7"/>
  <c r="J40" i="7"/>
  <c r="J41" i="7"/>
  <c r="J42" i="7"/>
  <c r="J43" i="7"/>
  <c r="J44" i="7"/>
  <c r="J45" i="7"/>
  <c r="J46" i="7"/>
  <c r="K67" i="7"/>
  <c r="K68" i="7"/>
  <c r="K69" i="7"/>
  <c r="K70" i="7"/>
  <c r="K71" i="7"/>
  <c r="K60" i="7"/>
  <c r="K61" i="7"/>
  <c r="K62" i="7"/>
  <c r="K63" i="7"/>
  <c r="K64" i="7"/>
  <c r="K49" i="7"/>
  <c r="K58" i="7" s="1"/>
  <c r="K74" i="7" s="1"/>
  <c r="K50" i="7"/>
  <c r="K51" i="7"/>
  <c r="K52" i="7"/>
  <c r="K53" i="7"/>
  <c r="K54" i="7"/>
  <c r="K55" i="7"/>
  <c r="K56" i="7"/>
  <c r="K57" i="7"/>
  <c r="K35" i="7"/>
  <c r="K36" i="7"/>
  <c r="K37" i="7"/>
  <c r="K38" i="7"/>
  <c r="K39" i="7"/>
  <c r="K40" i="7"/>
  <c r="K41" i="7"/>
  <c r="K42" i="7"/>
  <c r="K43" i="7"/>
  <c r="K44" i="7"/>
  <c r="K45" i="7"/>
  <c r="K46" i="7"/>
  <c r="L67" i="7"/>
  <c r="L72" i="7" s="1"/>
  <c r="L68" i="7"/>
  <c r="L69" i="7"/>
  <c r="L70" i="7"/>
  <c r="L71" i="7"/>
  <c r="L60" i="7"/>
  <c r="L65" i="7" s="1"/>
  <c r="L61" i="7"/>
  <c r="L62" i="7"/>
  <c r="L63" i="7"/>
  <c r="L64" i="7"/>
  <c r="L49" i="7"/>
  <c r="L50" i="7"/>
  <c r="L51" i="7"/>
  <c r="L52" i="7"/>
  <c r="L53" i="7"/>
  <c r="L54" i="7"/>
  <c r="L58" i="7" s="1"/>
  <c r="L55" i="7"/>
  <c r="L56" i="7"/>
  <c r="L57" i="7"/>
  <c r="L35" i="7"/>
  <c r="L36" i="7"/>
  <c r="L37" i="7"/>
  <c r="L38" i="7"/>
  <c r="L39" i="7"/>
  <c r="L47" i="7" s="1"/>
  <c r="L40" i="7"/>
  <c r="L41" i="7"/>
  <c r="L42" i="7"/>
  <c r="L43" i="7"/>
  <c r="L44" i="7"/>
  <c r="L45" i="7"/>
  <c r="L46" i="7"/>
  <c r="M67" i="7"/>
  <c r="M68" i="7"/>
  <c r="M69" i="7"/>
  <c r="M70" i="7"/>
  <c r="M71" i="7"/>
  <c r="M60" i="7"/>
  <c r="M61" i="7"/>
  <c r="M62" i="7"/>
  <c r="M63" i="7"/>
  <c r="M64" i="7"/>
  <c r="M65" i="7" s="1"/>
  <c r="M49" i="7"/>
  <c r="M50" i="7"/>
  <c r="M51" i="7"/>
  <c r="M52" i="7"/>
  <c r="M58" i="7" s="1"/>
  <c r="M53" i="7"/>
  <c r="M54" i="7"/>
  <c r="M55" i="7"/>
  <c r="M56" i="7"/>
  <c r="M57" i="7"/>
  <c r="M35" i="7"/>
  <c r="M36" i="7"/>
  <c r="M37" i="7"/>
  <c r="M38" i="7"/>
  <c r="M39" i="7"/>
  <c r="M40" i="7"/>
  <c r="M41" i="7"/>
  <c r="M42" i="7"/>
  <c r="M43" i="7"/>
  <c r="M44" i="7"/>
  <c r="M45" i="7"/>
  <c r="M46" i="7"/>
  <c r="N67" i="7"/>
  <c r="N68" i="7"/>
  <c r="N72" i="7" s="1"/>
  <c r="N74" i="7" s="1"/>
  <c r="N69" i="7"/>
  <c r="N70" i="7"/>
  <c r="N71" i="7"/>
  <c r="N60" i="7"/>
  <c r="N65" i="7" s="1"/>
  <c r="N61" i="7"/>
  <c r="N62" i="7"/>
  <c r="N63" i="7"/>
  <c r="N64" i="7"/>
  <c r="N49" i="7"/>
  <c r="N50" i="7"/>
  <c r="N51" i="7"/>
  <c r="N52" i="7"/>
  <c r="N53" i="7"/>
  <c r="N54" i="7"/>
  <c r="N55" i="7"/>
  <c r="N56" i="7"/>
  <c r="N57" i="7"/>
  <c r="N35" i="7"/>
  <c r="N36" i="7"/>
  <c r="N37" i="7"/>
  <c r="N47" i="7" s="1"/>
  <c r="N38" i="7"/>
  <c r="N39" i="7"/>
  <c r="N40" i="7"/>
  <c r="N41" i="7"/>
  <c r="N42" i="7"/>
  <c r="N43" i="7"/>
  <c r="N44" i="7"/>
  <c r="N45" i="7"/>
  <c r="N46" i="7"/>
  <c r="L114" i="4"/>
  <c r="L115" i="4" s="1"/>
  <c r="L116" i="4" s="1"/>
  <c r="C16" i="1"/>
  <c r="D16" i="1"/>
  <c r="E16" i="1"/>
  <c r="F16" i="1"/>
  <c r="G16" i="1"/>
  <c r="H16" i="1"/>
  <c r="I16" i="1"/>
  <c r="J16" i="1"/>
  <c r="K16" i="1"/>
  <c r="L16" i="1"/>
  <c r="M16" i="1"/>
  <c r="N16" i="1"/>
  <c r="C15" i="1"/>
  <c r="D15" i="1"/>
  <c r="E15" i="1"/>
  <c r="F15" i="1"/>
  <c r="G15" i="1"/>
  <c r="H15" i="1"/>
  <c r="I15" i="1"/>
  <c r="J15" i="1"/>
  <c r="K15" i="1"/>
  <c r="L15" i="1"/>
  <c r="M15" i="1"/>
  <c r="N15" i="1"/>
  <c r="C44" i="1"/>
  <c r="D44" i="1"/>
  <c r="E44" i="1"/>
  <c r="F44" i="1"/>
  <c r="G44" i="1"/>
  <c r="H44" i="1"/>
  <c r="I44" i="1"/>
  <c r="J44" i="1"/>
  <c r="K44" i="1"/>
  <c r="L44" i="1"/>
  <c r="M44" i="1"/>
  <c r="N44" i="1"/>
  <c r="C91" i="1"/>
  <c r="D91" i="1"/>
  <c r="E91" i="1"/>
  <c r="F91" i="1"/>
  <c r="G91" i="1"/>
  <c r="H91" i="1"/>
  <c r="I91" i="1"/>
  <c r="J91" i="1"/>
  <c r="K91" i="1"/>
  <c r="L91" i="1"/>
  <c r="M91" i="1"/>
  <c r="N91" i="1"/>
  <c r="C30" i="1"/>
  <c r="D30" i="1" s="1"/>
  <c r="E30" i="1" s="1"/>
  <c r="N29" i="7"/>
  <c r="N28" i="7"/>
  <c r="N26" i="7"/>
  <c r="M29" i="7"/>
  <c r="M28" i="7"/>
  <c r="M26" i="7"/>
  <c r="L29" i="7"/>
  <c r="L28" i="7"/>
  <c r="L26" i="7"/>
  <c r="K29" i="7"/>
  <c r="K28" i="7"/>
  <c r="K26" i="7"/>
  <c r="J29" i="7"/>
  <c r="J28" i="7"/>
  <c r="J26" i="7"/>
  <c r="I29" i="7"/>
  <c r="I28" i="7"/>
  <c r="I26" i="7"/>
  <c r="H29" i="7"/>
  <c r="H28" i="7"/>
  <c r="H26" i="7"/>
  <c r="G29" i="7"/>
  <c r="G28" i="7"/>
  <c r="G26" i="7"/>
  <c r="E615" i="7"/>
  <c r="D615" i="7"/>
  <c r="L570" i="7"/>
  <c r="L571" i="7" s="1"/>
  <c r="L572" i="7" s="1"/>
  <c r="L573" i="7" s="1"/>
  <c r="L574" i="7" s="1"/>
  <c r="L575" i="7" s="1"/>
  <c r="L576" i="7" s="1"/>
  <c r="L577" i="7" s="1"/>
  <c r="L578" i="7" s="1"/>
  <c r="L579" i="7" s="1"/>
  <c r="L580" i="7" s="1"/>
  <c r="L581" i="7" s="1"/>
  <c r="L582" i="7" s="1"/>
  <c r="L583" i="7" s="1"/>
  <c r="L584" i="7" s="1"/>
  <c r="L585" i="7" s="1"/>
  <c r="L586" i="7" s="1"/>
  <c r="L587" i="7" s="1"/>
  <c r="L588" i="7" s="1"/>
  <c r="L589" i="7" s="1"/>
  <c r="L590" i="7" s="1"/>
  <c r="L591" i="7" s="1"/>
  <c r="L592" i="7" s="1"/>
  <c r="L593" i="7" s="1"/>
  <c r="L594" i="7" s="1"/>
  <c r="L595" i="7" s="1"/>
  <c r="L596" i="7" s="1"/>
  <c r="L597" i="7" s="1"/>
  <c r="L598" i="7" s="1"/>
  <c r="L599" i="7" s="1"/>
  <c r="L600" i="7" s="1"/>
  <c r="L601" i="7" s="1"/>
  <c r="L602" i="7" s="1"/>
  <c r="L603" i="7" s="1"/>
  <c r="L604" i="7" s="1"/>
  <c r="L605" i="7" s="1"/>
  <c r="L606" i="7" s="1"/>
  <c r="L607" i="7" s="1"/>
  <c r="L608" i="7" s="1"/>
  <c r="L609" i="7" s="1"/>
  <c r="L610" i="7" s="1"/>
  <c r="L611" i="7" s="1"/>
  <c r="L612" i="7" s="1"/>
  <c r="L613" i="7" s="1"/>
  <c r="L614" i="7" s="1"/>
  <c r="E566" i="7"/>
  <c r="D566" i="7"/>
  <c r="L520" i="7"/>
  <c r="L521" i="7" s="1"/>
  <c r="L522" i="7" s="1"/>
  <c r="L523" i="7" s="1"/>
  <c r="L524" i="7" s="1"/>
  <c r="L525" i="7" s="1"/>
  <c r="L526" i="7" s="1"/>
  <c r="L527" i="7" s="1"/>
  <c r="L528" i="7" s="1"/>
  <c r="L529" i="7" s="1"/>
  <c r="L530" i="7" s="1"/>
  <c r="L531" i="7" s="1"/>
  <c r="L532" i="7" s="1"/>
  <c r="L533" i="7" s="1"/>
  <c r="L534" i="7" s="1"/>
  <c r="L535" i="7" s="1"/>
  <c r="L536" i="7" s="1"/>
  <c r="L537" i="7" s="1"/>
  <c r="L538" i="7" s="1"/>
  <c r="L539" i="7" s="1"/>
  <c r="L540" i="7" s="1"/>
  <c r="L541" i="7" s="1"/>
  <c r="L542" i="7" s="1"/>
  <c r="L543" i="7" s="1"/>
  <c r="L544" i="7" s="1"/>
  <c r="L545" i="7" s="1"/>
  <c r="L546" i="7" s="1"/>
  <c r="L547" i="7" s="1"/>
  <c r="L548" i="7" s="1"/>
  <c r="L549" i="7" s="1"/>
  <c r="L550" i="7" s="1"/>
  <c r="L551" i="7" s="1"/>
  <c r="L552" i="7" s="1"/>
  <c r="L553" i="7" s="1"/>
  <c r="L554" i="7" s="1"/>
  <c r="L555" i="7" s="1"/>
  <c r="L556" i="7" s="1"/>
  <c r="L557" i="7" s="1"/>
  <c r="L558" i="7" s="1"/>
  <c r="L559" i="7" s="1"/>
  <c r="L560" i="7" s="1"/>
  <c r="L561" i="7" s="1"/>
  <c r="L562" i="7" s="1"/>
  <c r="L563" i="7" s="1"/>
  <c r="L564" i="7" s="1"/>
  <c r="L565" i="7" s="1"/>
  <c r="E516" i="7"/>
  <c r="D516" i="7"/>
  <c r="L478" i="7"/>
  <c r="L479" i="7" s="1"/>
  <c r="L480" i="7" s="1"/>
  <c r="L481" i="7" s="1"/>
  <c r="L482" i="7" s="1"/>
  <c r="L483" i="7" s="1"/>
  <c r="L484" i="7" s="1"/>
  <c r="L485" i="7" s="1"/>
  <c r="L486" i="7" s="1"/>
  <c r="L487" i="7" s="1"/>
  <c r="L488" i="7" s="1"/>
  <c r="L489" i="7" s="1"/>
  <c r="L490" i="7" s="1"/>
  <c r="L491" i="7" s="1"/>
  <c r="L492" i="7" s="1"/>
  <c r="L493" i="7" s="1"/>
  <c r="L494" i="7" s="1"/>
  <c r="L495" i="7" s="1"/>
  <c r="L496" i="7" s="1"/>
  <c r="L497" i="7" s="1"/>
  <c r="L498" i="7" s="1"/>
  <c r="L499" i="7" s="1"/>
  <c r="L500" i="7" s="1"/>
  <c r="L501" i="7" s="1"/>
  <c r="L502" i="7" s="1"/>
  <c r="L503" i="7" s="1"/>
  <c r="L504" i="7" s="1"/>
  <c r="L505" i="7" s="1"/>
  <c r="L506" i="7" s="1"/>
  <c r="L507" i="7" s="1"/>
  <c r="L508" i="7" s="1"/>
  <c r="L509" i="7" s="1"/>
  <c r="L510" i="7" s="1"/>
  <c r="L511" i="7" s="1"/>
  <c r="L512" i="7" s="1"/>
  <c r="L513" i="7" s="1"/>
  <c r="L514" i="7" s="1"/>
  <c r="L515" i="7" s="1"/>
  <c r="E474" i="7"/>
  <c r="D474" i="7"/>
  <c r="L434" i="7"/>
  <c r="L435" i="7" s="1"/>
  <c r="L436" i="7" s="1"/>
  <c r="L437" i="7" s="1"/>
  <c r="L438" i="7" s="1"/>
  <c r="L439" i="7" s="1"/>
  <c r="L440" i="7" s="1"/>
  <c r="L441" i="7" s="1"/>
  <c r="L442" i="7" s="1"/>
  <c r="L443" i="7" s="1"/>
  <c r="L444" i="7" s="1"/>
  <c r="L445" i="7" s="1"/>
  <c r="L446" i="7" s="1"/>
  <c r="L447" i="7" s="1"/>
  <c r="L448" i="7" s="1"/>
  <c r="L449" i="7" s="1"/>
  <c r="L450" i="7" s="1"/>
  <c r="L451" i="7" s="1"/>
  <c r="L452" i="7" s="1"/>
  <c r="L453" i="7" s="1"/>
  <c r="L454" i="7" s="1"/>
  <c r="L455" i="7" s="1"/>
  <c r="L456" i="7" s="1"/>
  <c r="L457" i="7" s="1"/>
  <c r="L458" i="7" s="1"/>
  <c r="L459" i="7" s="1"/>
  <c r="L460" i="7" s="1"/>
  <c r="L461" i="7" s="1"/>
  <c r="L462" i="7" s="1"/>
  <c r="L463" i="7" s="1"/>
  <c r="L464" i="7" s="1"/>
  <c r="L465" i="7" s="1"/>
  <c r="L466" i="7" s="1"/>
  <c r="L467" i="7" s="1"/>
  <c r="L468" i="7" s="1"/>
  <c r="L469" i="7" s="1"/>
  <c r="L470" i="7" s="1"/>
  <c r="L471" i="7" s="1"/>
  <c r="L472" i="7" s="1"/>
  <c r="L473" i="7" s="1"/>
  <c r="E430" i="7"/>
  <c r="D430" i="7"/>
  <c r="L384" i="7"/>
  <c r="L385" i="7" s="1"/>
  <c r="L386" i="7" s="1"/>
  <c r="L387" i="7" s="1"/>
  <c r="L388" i="7" s="1"/>
  <c r="L389" i="7" s="1"/>
  <c r="L390" i="7" s="1"/>
  <c r="L391" i="7" s="1"/>
  <c r="L392" i="7" s="1"/>
  <c r="L393" i="7" s="1"/>
  <c r="L394" i="7" s="1"/>
  <c r="L395" i="7" s="1"/>
  <c r="L396" i="7" s="1"/>
  <c r="L397" i="7" s="1"/>
  <c r="L398" i="7" s="1"/>
  <c r="L399" i="7" s="1"/>
  <c r="L400" i="7" s="1"/>
  <c r="L401" i="7" s="1"/>
  <c r="L402" i="7" s="1"/>
  <c r="L403" i="7" s="1"/>
  <c r="L404" i="7" s="1"/>
  <c r="L405" i="7" s="1"/>
  <c r="L406" i="7" s="1"/>
  <c r="L407" i="7" s="1"/>
  <c r="L408" i="7" s="1"/>
  <c r="L409" i="7" s="1"/>
  <c r="L410" i="7" s="1"/>
  <c r="L411" i="7" s="1"/>
  <c r="L412" i="7" s="1"/>
  <c r="L413" i="7" s="1"/>
  <c r="L414" i="7" s="1"/>
  <c r="L415" i="7" s="1"/>
  <c r="L416" i="7" s="1"/>
  <c r="L417" i="7" s="1"/>
  <c r="L418" i="7" s="1"/>
  <c r="L419" i="7" s="1"/>
  <c r="L420" i="7" s="1"/>
  <c r="L421" i="7" s="1"/>
  <c r="L422" i="7" s="1"/>
  <c r="L423" i="7" s="1"/>
  <c r="L424" i="7" s="1"/>
  <c r="L425" i="7" s="1"/>
  <c r="L426" i="7" s="1"/>
  <c r="L427" i="7" s="1"/>
  <c r="L428" i="7" s="1"/>
  <c r="L429" i="7" s="1"/>
  <c r="E380" i="7"/>
  <c r="D380" i="7"/>
  <c r="L342" i="7"/>
  <c r="L343" i="7" s="1"/>
  <c r="L344" i="7" s="1"/>
  <c r="L345" i="7" s="1"/>
  <c r="L346" i="7" s="1"/>
  <c r="L347" i="7" s="1"/>
  <c r="L348" i="7" s="1"/>
  <c r="L349" i="7" s="1"/>
  <c r="L350" i="7" s="1"/>
  <c r="L351" i="7" s="1"/>
  <c r="L352" i="7" s="1"/>
  <c r="L353" i="7" s="1"/>
  <c r="L354" i="7" s="1"/>
  <c r="L355" i="7" s="1"/>
  <c r="L356" i="7" s="1"/>
  <c r="L357" i="7" s="1"/>
  <c r="L358" i="7" s="1"/>
  <c r="L359" i="7" s="1"/>
  <c r="L360" i="7" s="1"/>
  <c r="L361" i="7" s="1"/>
  <c r="L362" i="7" s="1"/>
  <c r="L363" i="7" s="1"/>
  <c r="L364" i="7" s="1"/>
  <c r="L365" i="7" s="1"/>
  <c r="L366" i="7" s="1"/>
  <c r="L367" i="7" s="1"/>
  <c r="L368" i="7" s="1"/>
  <c r="L369" i="7" s="1"/>
  <c r="L370" i="7" s="1"/>
  <c r="L371" i="7" s="1"/>
  <c r="L372" i="7" s="1"/>
  <c r="L373" i="7" s="1"/>
  <c r="L374" i="7" s="1"/>
  <c r="L375" i="7" s="1"/>
  <c r="L376" i="7" s="1"/>
  <c r="L377" i="7" s="1"/>
  <c r="L378" i="7" s="1"/>
  <c r="L379" i="7" s="1"/>
  <c r="E338" i="7"/>
  <c r="D338" i="7"/>
  <c r="L290" i="7"/>
  <c r="L291" i="7" s="1"/>
  <c r="L292" i="7" s="1"/>
  <c r="L293" i="7" s="1"/>
  <c r="L294" i="7" s="1"/>
  <c r="L295" i="7" s="1"/>
  <c r="L296" i="7" s="1"/>
  <c r="L297" i="7" s="1"/>
  <c r="L298" i="7" s="1"/>
  <c r="L299" i="7" s="1"/>
  <c r="L300" i="7" s="1"/>
  <c r="L301" i="7" s="1"/>
  <c r="L302" i="7" s="1"/>
  <c r="L303" i="7" s="1"/>
  <c r="L304" i="7" s="1"/>
  <c r="L305" i="7" s="1"/>
  <c r="L306" i="7" s="1"/>
  <c r="L307" i="7" s="1"/>
  <c r="L308" i="7" s="1"/>
  <c r="L309" i="7" s="1"/>
  <c r="L310" i="7" s="1"/>
  <c r="L311" i="7" s="1"/>
  <c r="L312" i="7" s="1"/>
  <c r="L313" i="7" s="1"/>
  <c r="L314" i="7" s="1"/>
  <c r="L315" i="7" s="1"/>
  <c r="L316" i="7" s="1"/>
  <c r="L317" i="7" s="1"/>
  <c r="L318" i="7" s="1"/>
  <c r="L319" i="7" s="1"/>
  <c r="L320" i="7" s="1"/>
  <c r="L321" i="7" s="1"/>
  <c r="L322" i="7" s="1"/>
  <c r="L323" i="7" s="1"/>
  <c r="L324" i="7" s="1"/>
  <c r="L325" i="7" s="1"/>
  <c r="L326" i="7" s="1"/>
  <c r="L327" i="7" s="1"/>
  <c r="L328" i="7" s="1"/>
  <c r="L329" i="7" s="1"/>
  <c r="L330" i="7" s="1"/>
  <c r="L331" i="7" s="1"/>
  <c r="L332" i="7" s="1"/>
  <c r="L333" i="7" s="1"/>
  <c r="L334" i="7" s="1"/>
  <c r="L335" i="7" s="1"/>
  <c r="L336" i="7" s="1"/>
  <c r="L337" i="7" s="1"/>
  <c r="E286" i="7"/>
  <c r="D286" i="7"/>
  <c r="L248" i="7"/>
  <c r="L249" i="7" s="1"/>
  <c r="L250" i="7" s="1"/>
  <c r="L251" i="7" s="1"/>
  <c r="L252" i="7" s="1"/>
  <c r="L253" i="7" s="1"/>
  <c r="L254" i="7" s="1"/>
  <c r="L255" i="7" s="1"/>
  <c r="L256" i="7" s="1"/>
  <c r="L257" i="7" s="1"/>
  <c r="L258" i="7" s="1"/>
  <c r="L259" i="7" s="1"/>
  <c r="L260" i="7" s="1"/>
  <c r="L261" i="7" s="1"/>
  <c r="L262" i="7" s="1"/>
  <c r="L263" i="7" s="1"/>
  <c r="L264" i="7" s="1"/>
  <c r="L265" i="7" s="1"/>
  <c r="L266" i="7" s="1"/>
  <c r="L267" i="7" s="1"/>
  <c r="L268" i="7" s="1"/>
  <c r="L269" i="7" s="1"/>
  <c r="L270" i="7" s="1"/>
  <c r="L271" i="7" s="1"/>
  <c r="L272" i="7" s="1"/>
  <c r="L273" i="7" s="1"/>
  <c r="L274" i="7" s="1"/>
  <c r="L275" i="7" s="1"/>
  <c r="L276" i="7" s="1"/>
  <c r="L277" i="7" s="1"/>
  <c r="L278" i="7" s="1"/>
  <c r="L279" i="7" s="1"/>
  <c r="L280" i="7" s="1"/>
  <c r="L281" i="7" s="1"/>
  <c r="L282" i="7" s="1"/>
  <c r="L283" i="7" s="1"/>
  <c r="L284" i="7" s="1"/>
  <c r="L285" i="7" s="1"/>
  <c r="N92" i="1"/>
  <c r="N90" i="1"/>
  <c r="N89" i="1"/>
  <c r="N87" i="1"/>
  <c r="N86" i="1"/>
  <c r="N78" i="1"/>
  <c r="N75" i="1"/>
  <c r="N72" i="1"/>
  <c r="N71" i="1"/>
  <c r="N70" i="1"/>
  <c r="N69" i="1"/>
  <c r="N66" i="1"/>
  <c r="N65" i="1"/>
  <c r="N64" i="1"/>
  <c r="N63" i="1"/>
  <c r="N62" i="1"/>
  <c r="N61" i="1"/>
  <c r="N60" i="1"/>
  <c r="N59" i="1"/>
  <c r="N58" i="1"/>
  <c r="N55" i="1"/>
  <c r="N54" i="1"/>
  <c r="N53" i="1"/>
  <c r="N52" i="1"/>
  <c r="N51" i="1"/>
  <c r="N50" i="1"/>
  <c r="N46" i="1"/>
  <c r="N45" i="1"/>
  <c r="N42" i="1"/>
  <c r="N41" i="1"/>
  <c r="N40" i="1"/>
  <c r="N38" i="1"/>
  <c r="N32" i="1"/>
  <c r="N28" i="1"/>
  <c r="N22" i="1"/>
  <c r="N21" i="1"/>
  <c r="N20" i="1"/>
  <c r="N19" i="1"/>
  <c r="N18" i="1"/>
  <c r="N17" i="1"/>
  <c r="N13" i="1"/>
  <c r="M92" i="1"/>
  <c r="M90" i="1"/>
  <c r="M89" i="1"/>
  <c r="M87" i="1"/>
  <c r="M86" i="1"/>
  <c r="M78" i="1"/>
  <c r="M75" i="1"/>
  <c r="M72" i="1"/>
  <c r="M71" i="1"/>
  <c r="M70" i="1"/>
  <c r="M69" i="1"/>
  <c r="M66" i="1"/>
  <c r="M65" i="1"/>
  <c r="M64" i="1"/>
  <c r="M63" i="1"/>
  <c r="M62" i="1"/>
  <c r="M61" i="1"/>
  <c r="M60" i="1"/>
  <c r="M59" i="1"/>
  <c r="M58" i="1"/>
  <c r="M55" i="1"/>
  <c r="M54" i="1"/>
  <c r="M53" i="1"/>
  <c r="M52" i="1"/>
  <c r="M51" i="1"/>
  <c r="M50" i="1"/>
  <c r="M46" i="1"/>
  <c r="M45" i="1"/>
  <c r="M42" i="1"/>
  <c r="M41" i="1"/>
  <c r="M40" i="1"/>
  <c r="M38" i="1"/>
  <c r="M32" i="1"/>
  <c r="M28" i="1"/>
  <c r="M22" i="1"/>
  <c r="M21" i="1"/>
  <c r="M20" i="1"/>
  <c r="M19" i="1"/>
  <c r="M18" i="1"/>
  <c r="M17" i="1"/>
  <c r="M13" i="1"/>
  <c r="L92" i="1"/>
  <c r="L90" i="1"/>
  <c r="L89" i="1"/>
  <c r="L87" i="1"/>
  <c r="L86" i="1"/>
  <c r="L78" i="1"/>
  <c r="L75" i="1"/>
  <c r="L72" i="1"/>
  <c r="L71" i="1"/>
  <c r="L70" i="1"/>
  <c r="L69" i="1"/>
  <c r="L66" i="1"/>
  <c r="L65" i="1"/>
  <c r="L64" i="1"/>
  <c r="L63" i="1"/>
  <c r="L62" i="1"/>
  <c r="L61" i="1"/>
  <c r="L60" i="1"/>
  <c r="L59" i="1"/>
  <c r="L58" i="1"/>
  <c r="L55" i="1"/>
  <c r="L54" i="1"/>
  <c r="L53" i="1"/>
  <c r="L52" i="1"/>
  <c r="L51" i="1"/>
  <c r="L50" i="1"/>
  <c r="L46" i="1"/>
  <c r="L45" i="1"/>
  <c r="L42" i="1"/>
  <c r="L41" i="1"/>
  <c r="L40" i="1"/>
  <c r="L38" i="1"/>
  <c r="L32" i="1"/>
  <c r="L28" i="1"/>
  <c r="L22" i="1"/>
  <c r="L21" i="1"/>
  <c r="L20" i="1"/>
  <c r="L19" i="1"/>
  <c r="L18" i="1"/>
  <c r="L17" i="1"/>
  <c r="L13" i="1"/>
  <c r="K92" i="1"/>
  <c r="K90" i="1"/>
  <c r="K89" i="1"/>
  <c r="K87" i="1"/>
  <c r="K86" i="1"/>
  <c r="K78" i="1"/>
  <c r="K75" i="1"/>
  <c r="K72" i="1"/>
  <c r="K71" i="1"/>
  <c r="K70" i="1"/>
  <c r="K69" i="1"/>
  <c r="K66" i="1"/>
  <c r="K65" i="1"/>
  <c r="K64" i="1"/>
  <c r="K63" i="1"/>
  <c r="K62" i="1"/>
  <c r="K61" i="1"/>
  <c r="K60" i="1"/>
  <c r="K59" i="1"/>
  <c r="K58" i="1"/>
  <c r="K55" i="1"/>
  <c r="K54" i="1"/>
  <c r="K53" i="1"/>
  <c r="K52" i="1"/>
  <c r="K51" i="1"/>
  <c r="K50" i="1"/>
  <c r="K46" i="1"/>
  <c r="K45" i="1"/>
  <c r="K42" i="1"/>
  <c r="K41" i="1"/>
  <c r="K40" i="1"/>
  <c r="K38" i="1"/>
  <c r="K32" i="1"/>
  <c r="K28" i="1"/>
  <c r="K22" i="1"/>
  <c r="K21" i="1"/>
  <c r="K20" i="1"/>
  <c r="K19" i="1"/>
  <c r="K18" i="1"/>
  <c r="K17" i="1"/>
  <c r="K13" i="1"/>
  <c r="J92" i="1"/>
  <c r="J90" i="1"/>
  <c r="J89" i="1"/>
  <c r="J87" i="1"/>
  <c r="J86" i="1"/>
  <c r="J78" i="1"/>
  <c r="J75" i="1"/>
  <c r="J72" i="1"/>
  <c r="J71" i="1"/>
  <c r="J70" i="1"/>
  <c r="J69" i="1"/>
  <c r="J66" i="1"/>
  <c r="J65" i="1"/>
  <c r="J64" i="1"/>
  <c r="J63" i="1"/>
  <c r="J62" i="1"/>
  <c r="J61" i="1"/>
  <c r="J60" i="1"/>
  <c r="J59" i="1"/>
  <c r="J58" i="1"/>
  <c r="J55" i="1"/>
  <c r="J54" i="1"/>
  <c r="J53" i="1"/>
  <c r="J52" i="1"/>
  <c r="J51" i="1"/>
  <c r="J50" i="1"/>
  <c r="J46" i="1"/>
  <c r="J45" i="1"/>
  <c r="J42" i="1"/>
  <c r="J41" i="1"/>
  <c r="J40" i="1"/>
  <c r="J38" i="1"/>
  <c r="J32" i="1"/>
  <c r="J28" i="1"/>
  <c r="J22" i="1"/>
  <c r="J21" i="1"/>
  <c r="J20" i="1"/>
  <c r="J19" i="1"/>
  <c r="J18" i="1"/>
  <c r="J17" i="1"/>
  <c r="J13" i="1"/>
  <c r="I92" i="1"/>
  <c r="I90" i="1"/>
  <c r="I89" i="1"/>
  <c r="I87" i="1"/>
  <c r="I86" i="1"/>
  <c r="I78" i="1"/>
  <c r="I75" i="1"/>
  <c r="I72" i="1"/>
  <c r="I71" i="1"/>
  <c r="I70" i="1"/>
  <c r="I69" i="1"/>
  <c r="I66" i="1"/>
  <c r="I65" i="1"/>
  <c r="I64" i="1"/>
  <c r="I63" i="1"/>
  <c r="I62" i="1"/>
  <c r="I61" i="1"/>
  <c r="I60" i="1"/>
  <c r="I59" i="1"/>
  <c r="I58" i="1"/>
  <c r="I55" i="1"/>
  <c r="I54" i="1"/>
  <c r="I53" i="1"/>
  <c r="I52" i="1"/>
  <c r="I51" i="1"/>
  <c r="I50" i="1"/>
  <c r="I46" i="1"/>
  <c r="I45" i="1"/>
  <c r="I42" i="1"/>
  <c r="I41" i="1"/>
  <c r="I40" i="1"/>
  <c r="I38" i="1"/>
  <c r="I32" i="1"/>
  <c r="I28" i="1"/>
  <c r="I22" i="1"/>
  <c r="I21" i="1"/>
  <c r="I20" i="1"/>
  <c r="I19" i="1"/>
  <c r="I18" i="1"/>
  <c r="I17" i="1"/>
  <c r="I13" i="1"/>
  <c r="H92" i="1"/>
  <c r="H90" i="1"/>
  <c r="H89" i="1"/>
  <c r="H87" i="1"/>
  <c r="H86" i="1"/>
  <c r="H78" i="1"/>
  <c r="H75" i="1"/>
  <c r="H72" i="1"/>
  <c r="H71" i="1"/>
  <c r="H70" i="1"/>
  <c r="H69" i="1"/>
  <c r="H66" i="1"/>
  <c r="H65" i="1"/>
  <c r="H64" i="1"/>
  <c r="H63" i="1"/>
  <c r="H62" i="1"/>
  <c r="H61" i="1"/>
  <c r="H60" i="1"/>
  <c r="H59" i="1"/>
  <c r="H58" i="1"/>
  <c r="H55" i="1"/>
  <c r="H54" i="1"/>
  <c r="H53" i="1"/>
  <c r="H52" i="1"/>
  <c r="H51" i="1"/>
  <c r="H50" i="1"/>
  <c r="H46" i="1"/>
  <c r="H45" i="1"/>
  <c r="H42" i="1"/>
  <c r="H41" i="1"/>
  <c r="H40" i="1"/>
  <c r="H38" i="1"/>
  <c r="H32" i="1"/>
  <c r="H28" i="1"/>
  <c r="H22" i="1"/>
  <c r="H21" i="1"/>
  <c r="H20" i="1"/>
  <c r="H19" i="1"/>
  <c r="H18" i="1"/>
  <c r="H17" i="1"/>
  <c r="H13" i="1"/>
  <c r="G92" i="1"/>
  <c r="G90" i="1"/>
  <c r="G89" i="1"/>
  <c r="G87" i="1"/>
  <c r="G86" i="1"/>
  <c r="G78" i="1"/>
  <c r="G70" i="1"/>
  <c r="G71" i="1"/>
  <c r="G72" i="1"/>
  <c r="G75" i="1"/>
  <c r="G69" i="1"/>
  <c r="G59" i="1"/>
  <c r="G60" i="1"/>
  <c r="G61" i="1"/>
  <c r="G62" i="1"/>
  <c r="G63" i="1"/>
  <c r="G64" i="1"/>
  <c r="G65" i="1"/>
  <c r="G66" i="1"/>
  <c r="G58" i="1"/>
  <c r="G40" i="1"/>
  <c r="G41" i="1"/>
  <c r="G42" i="1"/>
  <c r="G45" i="1"/>
  <c r="G46" i="1"/>
  <c r="G50" i="1"/>
  <c r="G51" i="1"/>
  <c r="G52" i="1"/>
  <c r="G53" i="1"/>
  <c r="G54" i="1"/>
  <c r="G55" i="1"/>
  <c r="G38" i="1"/>
  <c r="G32" i="1"/>
  <c r="G28" i="1"/>
  <c r="G17" i="1"/>
  <c r="G18" i="1"/>
  <c r="G19" i="1"/>
  <c r="G20" i="1"/>
  <c r="G21" i="1"/>
  <c r="G22" i="1"/>
  <c r="G13" i="1"/>
  <c r="E782" i="4"/>
  <c r="D782" i="4"/>
  <c r="L736" i="4"/>
  <c r="L737" i="4" s="1"/>
  <c r="L738" i="4" s="1"/>
  <c r="L739" i="4" s="1"/>
  <c r="L740" i="4" s="1"/>
  <c r="L741" i="4" s="1"/>
  <c r="L742" i="4" s="1"/>
  <c r="L743" i="4" s="1"/>
  <c r="L744" i="4" s="1"/>
  <c r="L745" i="4" s="1"/>
  <c r="L746" i="4" s="1"/>
  <c r="L747" i="4" s="1"/>
  <c r="L748" i="4" s="1"/>
  <c r="L749" i="4" s="1"/>
  <c r="L750" i="4" s="1"/>
  <c r="E732" i="4"/>
  <c r="D732" i="4"/>
  <c r="L682" i="4"/>
  <c r="L683" i="4" s="1"/>
  <c r="L684" i="4" s="1"/>
  <c r="E678" i="4"/>
  <c r="D678" i="4"/>
  <c r="E617" i="4"/>
  <c r="D617" i="4"/>
  <c r="E500" i="4"/>
  <c r="D500" i="4"/>
  <c r="E419" i="4"/>
  <c r="D419" i="4"/>
  <c r="L354" i="4"/>
  <c r="L355" i="4" s="1"/>
  <c r="L356" i="4" s="1"/>
  <c r="L357" i="4" s="1"/>
  <c r="E338" i="4"/>
  <c r="D338" i="4"/>
  <c r="E269" i="4"/>
  <c r="D269" i="4"/>
  <c r="F92" i="1"/>
  <c r="E92" i="1"/>
  <c r="D92" i="1"/>
  <c r="C92" i="1"/>
  <c r="F90" i="1"/>
  <c r="E90" i="1"/>
  <c r="D90" i="1"/>
  <c r="C90" i="1"/>
  <c r="F89" i="1"/>
  <c r="E89" i="1"/>
  <c r="D89" i="1"/>
  <c r="C89" i="1"/>
  <c r="F87" i="1"/>
  <c r="E87" i="1"/>
  <c r="D87" i="1"/>
  <c r="C87" i="1"/>
  <c r="F86" i="1"/>
  <c r="E86" i="1"/>
  <c r="D86" i="1"/>
  <c r="C86" i="1"/>
  <c r="F78" i="1"/>
  <c r="E78" i="1"/>
  <c r="D78" i="1"/>
  <c r="C78" i="1"/>
  <c r="F75" i="1"/>
  <c r="E75" i="1"/>
  <c r="D75" i="1"/>
  <c r="C75" i="1"/>
  <c r="F72" i="1"/>
  <c r="E72" i="1"/>
  <c r="D72" i="1"/>
  <c r="C72" i="1"/>
  <c r="F71" i="1"/>
  <c r="E71" i="1"/>
  <c r="D71" i="1"/>
  <c r="C71" i="1"/>
  <c r="F70" i="1"/>
  <c r="E70" i="1"/>
  <c r="D70" i="1"/>
  <c r="C70" i="1"/>
  <c r="F69" i="1"/>
  <c r="E69" i="1"/>
  <c r="D69" i="1"/>
  <c r="C69" i="1"/>
  <c r="F66" i="1"/>
  <c r="E66" i="1"/>
  <c r="D66" i="1"/>
  <c r="C66" i="1"/>
  <c r="F65" i="1"/>
  <c r="E65" i="1"/>
  <c r="D65" i="1"/>
  <c r="C65" i="1"/>
  <c r="F64" i="1"/>
  <c r="E64" i="1"/>
  <c r="D64" i="1"/>
  <c r="C64" i="1"/>
  <c r="F63" i="1"/>
  <c r="E63" i="1"/>
  <c r="D63" i="1"/>
  <c r="C63" i="1"/>
  <c r="F62" i="1"/>
  <c r="E62" i="1"/>
  <c r="D62" i="1"/>
  <c r="C62" i="1"/>
  <c r="F61" i="1"/>
  <c r="E61" i="1"/>
  <c r="D61" i="1"/>
  <c r="C61" i="1"/>
  <c r="F60" i="1"/>
  <c r="E60" i="1"/>
  <c r="D60" i="1"/>
  <c r="C60" i="1"/>
  <c r="F59" i="1"/>
  <c r="E59" i="1"/>
  <c r="D59" i="1"/>
  <c r="C59" i="1"/>
  <c r="F58" i="1"/>
  <c r="E58" i="1"/>
  <c r="D58" i="1"/>
  <c r="C58" i="1"/>
  <c r="C40" i="1"/>
  <c r="D40" i="1"/>
  <c r="E40" i="1"/>
  <c r="F40" i="1"/>
  <c r="C41" i="1"/>
  <c r="C29" i="1" s="1"/>
  <c r="D41" i="1"/>
  <c r="E41" i="1"/>
  <c r="F41" i="1"/>
  <c r="C42" i="1"/>
  <c r="D42" i="1"/>
  <c r="E42" i="1"/>
  <c r="F42" i="1"/>
  <c r="C45" i="1"/>
  <c r="D45" i="1"/>
  <c r="E45" i="1"/>
  <c r="F45" i="1"/>
  <c r="C46" i="1"/>
  <c r="D46" i="1"/>
  <c r="E46" i="1"/>
  <c r="F46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F38" i="1"/>
  <c r="E38" i="1"/>
  <c r="D38" i="1"/>
  <c r="C38" i="1"/>
  <c r="C32" i="1"/>
  <c r="D32" i="1"/>
  <c r="E32" i="1"/>
  <c r="F32" i="1"/>
  <c r="F28" i="1"/>
  <c r="E28" i="1"/>
  <c r="D28" i="1"/>
  <c r="C28" i="1"/>
  <c r="F17" i="1"/>
  <c r="F18" i="1"/>
  <c r="F19" i="1"/>
  <c r="F20" i="1"/>
  <c r="F21" i="1"/>
  <c r="F22" i="1"/>
  <c r="F13" i="1"/>
  <c r="E17" i="1"/>
  <c r="E18" i="1"/>
  <c r="E19" i="1"/>
  <c r="E20" i="1"/>
  <c r="E21" i="1"/>
  <c r="E22" i="1"/>
  <c r="E13" i="1"/>
  <c r="D17" i="1"/>
  <c r="D18" i="1"/>
  <c r="D19" i="1"/>
  <c r="D20" i="1"/>
  <c r="D21" i="1"/>
  <c r="D22" i="1"/>
  <c r="D13" i="1"/>
  <c r="C17" i="1"/>
  <c r="C18" i="1"/>
  <c r="C19" i="1"/>
  <c r="C20" i="1"/>
  <c r="C21" i="1"/>
  <c r="C22" i="1"/>
  <c r="C13" i="1"/>
  <c r="L154" i="7"/>
  <c r="L155" i="7" s="1"/>
  <c r="L156" i="7" s="1"/>
  <c r="L157" i="7" s="1"/>
  <c r="L158" i="7" s="1"/>
  <c r="L159" i="7" s="1"/>
  <c r="L160" i="7" s="1"/>
  <c r="L161" i="7" s="1"/>
  <c r="L162" i="7" s="1"/>
  <c r="L163" i="7" s="1"/>
  <c r="L164" i="7" s="1"/>
  <c r="L165" i="7" s="1"/>
  <c r="L166" i="7" s="1"/>
  <c r="L167" i="7" s="1"/>
  <c r="L168" i="7" s="1"/>
  <c r="L169" i="7" s="1"/>
  <c r="L170" i="7" s="1"/>
  <c r="L171" i="7" s="1"/>
  <c r="L172" i="7" s="1"/>
  <c r="L173" i="7" s="1"/>
  <c r="L174" i="7" s="1"/>
  <c r="L175" i="7" s="1"/>
  <c r="L176" i="7" s="1"/>
  <c r="L177" i="7" s="1"/>
  <c r="L178" i="7" s="1"/>
  <c r="L179" i="7" s="1"/>
  <c r="L180" i="7" s="1"/>
  <c r="L181" i="7" s="1"/>
  <c r="L182" i="7" s="1"/>
  <c r="L183" i="7" s="1"/>
  <c r="L184" i="7" s="1"/>
  <c r="L185" i="7" s="1"/>
  <c r="L186" i="7" s="1"/>
  <c r="L187" i="7" s="1"/>
  <c r="L188" i="7" s="1"/>
  <c r="L189" i="7" s="1"/>
  <c r="L190" i="7" s="1"/>
  <c r="L191" i="7" s="1"/>
  <c r="L192" i="7" s="1"/>
  <c r="L193" i="7" s="1"/>
  <c r="L194" i="7" s="1"/>
  <c r="L195" i="7" s="1"/>
  <c r="L196" i="7" s="1"/>
  <c r="L197" i="7" s="1"/>
  <c r="L198" i="7" s="1"/>
  <c r="L199" i="7" s="1"/>
  <c r="L200" i="7" s="1"/>
  <c r="L201" i="7" s="1"/>
  <c r="F29" i="7"/>
  <c r="F28" i="7"/>
  <c r="F26" i="7"/>
  <c r="E29" i="7"/>
  <c r="E28" i="7"/>
  <c r="E26" i="7"/>
  <c r="D29" i="7"/>
  <c r="D28" i="7"/>
  <c r="D26" i="7"/>
  <c r="C28" i="7"/>
  <c r="C29" i="7"/>
  <c r="C26" i="7"/>
  <c r="E244" i="7"/>
  <c r="D244" i="7"/>
  <c r="L206" i="7"/>
  <c r="L207" i="7" s="1"/>
  <c r="L208" i="7" s="1"/>
  <c r="L209" i="7" s="1"/>
  <c r="L210" i="7" s="1"/>
  <c r="L211" i="7" s="1"/>
  <c r="L212" i="7" s="1"/>
  <c r="L213" i="7" s="1"/>
  <c r="L214" i="7" s="1"/>
  <c r="L215" i="7" s="1"/>
  <c r="L216" i="7" s="1"/>
  <c r="L217" i="7" s="1"/>
  <c r="L218" i="7" s="1"/>
  <c r="L219" i="7" s="1"/>
  <c r="L220" i="7" s="1"/>
  <c r="L221" i="7" s="1"/>
  <c r="L222" i="7" s="1"/>
  <c r="L223" i="7" s="1"/>
  <c r="L224" i="7" s="1"/>
  <c r="L225" i="7" s="1"/>
  <c r="L226" i="7" s="1"/>
  <c r="L227" i="7" s="1"/>
  <c r="L228" i="7" s="1"/>
  <c r="L229" i="7" s="1"/>
  <c r="L230" i="7" s="1"/>
  <c r="L231" i="7" s="1"/>
  <c r="L232" i="7" s="1"/>
  <c r="L233" i="7" s="1"/>
  <c r="L234" i="7" s="1"/>
  <c r="L235" i="7" s="1"/>
  <c r="L236" i="7" s="1"/>
  <c r="L237" i="7" s="1"/>
  <c r="L238" i="7" s="1"/>
  <c r="L239" i="7" s="1"/>
  <c r="L240" i="7" s="1"/>
  <c r="L241" i="7" s="1"/>
  <c r="L242" i="7" s="1"/>
  <c r="L243" i="7" s="1"/>
  <c r="E202" i="7"/>
  <c r="D202" i="7"/>
  <c r="E150" i="7"/>
  <c r="D150" i="7"/>
  <c r="L116" i="7"/>
  <c r="L117" i="7" s="1"/>
  <c r="L118" i="7" s="1"/>
  <c r="L119" i="7" s="1"/>
  <c r="L120" i="7" s="1"/>
  <c r="L121" i="7" s="1"/>
  <c r="L122" i="7" s="1"/>
  <c r="L123" i="7" s="1"/>
  <c r="L124" i="7" s="1"/>
  <c r="L125" i="7" s="1"/>
  <c r="L126" i="7" s="1"/>
  <c r="L127" i="7" s="1"/>
  <c r="L128" i="7" s="1"/>
  <c r="L129" i="7" s="1"/>
  <c r="L130" i="7" s="1"/>
  <c r="L131" i="7" s="1"/>
  <c r="L132" i="7" s="1"/>
  <c r="L133" i="7" s="1"/>
  <c r="L134" i="7" s="1"/>
  <c r="L135" i="7" s="1"/>
  <c r="L136" i="7" s="1"/>
  <c r="L137" i="7" s="1"/>
  <c r="L138" i="7" s="1"/>
  <c r="L139" i="7" s="1"/>
  <c r="L140" i="7" s="1"/>
  <c r="L141" i="7" s="1"/>
  <c r="L142" i="7" s="1"/>
  <c r="L143" i="7" s="1"/>
  <c r="L144" i="7" s="1"/>
  <c r="L145" i="7" s="1"/>
  <c r="L146" i="7" s="1"/>
  <c r="L147" i="7" s="1"/>
  <c r="L148" i="7" s="1"/>
  <c r="L149" i="7" s="1"/>
  <c r="E112" i="7"/>
  <c r="D112" i="7"/>
  <c r="L78" i="7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L103" i="7" s="1"/>
  <c r="L104" i="7" s="1"/>
  <c r="L105" i="7" s="1"/>
  <c r="L106" i="7" s="1"/>
  <c r="L107" i="7" s="1"/>
  <c r="L108" i="7" s="1"/>
  <c r="L109" i="7" s="1"/>
  <c r="L110" i="7" s="1"/>
  <c r="L111" i="7" s="1"/>
  <c r="E226" i="4"/>
  <c r="D226" i="4"/>
  <c r="E173" i="4"/>
  <c r="D173" i="4"/>
  <c r="E47" i="4"/>
  <c r="D47" i="4"/>
  <c r="F2" i="3"/>
  <c r="F14" i="3"/>
  <c r="F10" i="3"/>
  <c r="F6" i="3"/>
  <c r="K65" i="7"/>
  <c r="D72" i="7"/>
  <c r="C58" i="7"/>
  <c r="E65" i="7"/>
  <c r="N58" i="7"/>
  <c r="K72" i="7"/>
  <c r="D27" i="7"/>
  <c r="C31" i="7"/>
  <c r="F72" i="7"/>
  <c r="J58" i="7"/>
  <c r="G65" i="7"/>
  <c r="I22" i="7"/>
  <c r="I4" i="7"/>
  <c r="K47" i="7"/>
  <c r="I47" i="7"/>
  <c r="G22" i="7"/>
  <c r="G4" i="7"/>
  <c r="M47" i="7"/>
  <c r="C22" i="7"/>
  <c r="C4" i="7" s="1"/>
  <c r="M72" i="7"/>
  <c r="H22" i="7"/>
  <c r="H4" i="7" s="1"/>
  <c r="F65" i="7"/>
  <c r="L291" i="4" l="1"/>
  <c r="L292" i="4" s="1"/>
  <c r="L293" i="4" s="1"/>
  <c r="L294" i="4" s="1"/>
  <c r="L234" i="4"/>
  <c r="L235" i="4" s="1"/>
  <c r="L236" i="4" s="1"/>
  <c r="L117" i="4"/>
  <c r="N5" i="7"/>
  <c r="N6" i="7" s="1"/>
  <c r="N7" i="1"/>
  <c r="N5" i="1"/>
  <c r="O26" i="7"/>
  <c r="M74" i="7"/>
  <c r="M5" i="1"/>
  <c r="O29" i="7"/>
  <c r="L74" i="7"/>
  <c r="O38" i="7"/>
  <c r="O60" i="7"/>
  <c r="L5" i="1"/>
  <c r="K5" i="7"/>
  <c r="K7" i="1"/>
  <c r="K6" i="7"/>
  <c r="K5" i="1"/>
  <c r="O41" i="7"/>
  <c r="J65" i="7"/>
  <c r="J74" i="7" s="1"/>
  <c r="J5" i="1"/>
  <c r="O11" i="7"/>
  <c r="I7" i="1"/>
  <c r="I5" i="7"/>
  <c r="I6" i="7" s="1"/>
  <c r="O54" i="7"/>
  <c r="O55" i="7"/>
  <c r="I5" i="1"/>
  <c r="H74" i="7"/>
  <c r="O39" i="7"/>
  <c r="O70" i="7"/>
  <c r="O42" i="7"/>
  <c r="H5" i="1"/>
  <c r="O61" i="7"/>
  <c r="O64" i="7"/>
  <c r="G7" i="1"/>
  <c r="G5" i="7"/>
  <c r="G6" i="7"/>
  <c r="O71" i="7"/>
  <c r="O36" i="7"/>
  <c r="G5" i="1"/>
  <c r="O57" i="7"/>
  <c r="O56" i="7"/>
  <c r="F74" i="7"/>
  <c r="O40" i="7"/>
  <c r="O53" i="7"/>
  <c r="O20" i="7"/>
  <c r="O63" i="7"/>
  <c r="O45" i="7"/>
  <c r="O62" i="7"/>
  <c r="O12" i="7"/>
  <c r="O15" i="7"/>
  <c r="O17" i="7"/>
  <c r="O14" i="7"/>
  <c r="O28" i="7"/>
  <c r="O50" i="7"/>
  <c r="O16" i="7"/>
  <c r="F5" i="1"/>
  <c r="O46" i="7"/>
  <c r="O44" i="7"/>
  <c r="O43" i="7"/>
  <c r="O13" i="7"/>
  <c r="E5" i="1"/>
  <c r="E74" i="7"/>
  <c r="E27" i="7"/>
  <c r="F27" i="7" s="1"/>
  <c r="O35" i="7"/>
  <c r="E7" i="1"/>
  <c r="E5" i="7"/>
  <c r="E6" i="7" s="1"/>
  <c r="D74" i="7"/>
  <c r="O67" i="7"/>
  <c r="O49" i="7"/>
  <c r="C7" i="1"/>
  <c r="C5" i="7"/>
  <c r="C6" i="7" s="1"/>
  <c r="G27" i="7"/>
  <c r="F31" i="7"/>
  <c r="D31" i="7"/>
  <c r="C5" i="1"/>
  <c r="L751" i="4"/>
  <c r="L752" i="4" s="1"/>
  <c r="L753" i="4" s="1"/>
  <c r="L754" i="4" s="1"/>
  <c r="L755" i="4" s="1"/>
  <c r="L756" i="4" s="1"/>
  <c r="L757" i="4" s="1"/>
  <c r="L758" i="4" s="1"/>
  <c r="L685" i="4"/>
  <c r="L686" i="4" s="1"/>
  <c r="L687" i="4" s="1"/>
  <c r="L688" i="4" s="1"/>
  <c r="L689" i="4" s="1"/>
  <c r="L690" i="4" s="1"/>
  <c r="L691" i="4" s="1"/>
  <c r="L692" i="4" s="1"/>
  <c r="L693" i="4" s="1"/>
  <c r="L694" i="4" s="1"/>
  <c r="L695" i="4" s="1"/>
  <c r="L696" i="4" s="1"/>
  <c r="L697" i="4" s="1"/>
  <c r="L698" i="4" s="1"/>
  <c r="L699" i="4" s="1"/>
  <c r="L700" i="4" s="1"/>
  <c r="L701" i="4" s="1"/>
  <c r="L702" i="4" s="1"/>
  <c r="L703" i="4" s="1"/>
  <c r="L704" i="4" s="1"/>
  <c r="L705" i="4" s="1"/>
  <c r="L706" i="4" s="1"/>
  <c r="L707" i="4" s="1"/>
  <c r="L708" i="4" s="1"/>
  <c r="L709" i="4" s="1"/>
  <c r="L710" i="4" s="1"/>
  <c r="L711" i="4" s="1"/>
  <c r="L712" i="4" s="1"/>
  <c r="L713" i="4" s="1"/>
  <c r="L714" i="4" s="1"/>
  <c r="L715" i="4" s="1"/>
  <c r="L716" i="4" s="1"/>
  <c r="L717" i="4" s="1"/>
  <c r="L718" i="4" s="1"/>
  <c r="L719" i="4" s="1"/>
  <c r="L720" i="4" s="1"/>
  <c r="L721" i="4" s="1"/>
  <c r="L722" i="4" s="1"/>
  <c r="L723" i="4" s="1"/>
  <c r="L724" i="4" s="1"/>
  <c r="L725" i="4" s="1"/>
  <c r="L726" i="4" s="1"/>
  <c r="L727" i="4" s="1"/>
  <c r="L728" i="4" s="1"/>
  <c r="L729" i="4" s="1"/>
  <c r="L730" i="4" s="1"/>
  <c r="L731" i="4" s="1"/>
  <c r="L358" i="4"/>
  <c r="L359" i="4" s="1"/>
  <c r="M76" i="1"/>
  <c r="J76" i="1"/>
  <c r="L76" i="1"/>
  <c r="M67" i="1"/>
  <c r="N67" i="1"/>
  <c r="L67" i="1"/>
  <c r="G76" i="1"/>
  <c r="O75" i="1"/>
  <c r="I76" i="1"/>
  <c r="O19" i="1"/>
  <c r="H76" i="1"/>
  <c r="O87" i="1"/>
  <c r="C56" i="1"/>
  <c r="E93" i="1"/>
  <c r="G24" i="1"/>
  <c r="G4" i="1" s="1"/>
  <c r="F24" i="1"/>
  <c r="F4" i="1" s="1"/>
  <c r="F93" i="1"/>
  <c r="I67" i="1"/>
  <c r="L24" i="1"/>
  <c r="L4" i="1" s="1"/>
  <c r="H24" i="1"/>
  <c r="H4" i="1" s="1"/>
  <c r="I24" i="1"/>
  <c r="I4" i="1" s="1"/>
  <c r="M93" i="1"/>
  <c r="M56" i="1"/>
  <c r="G56" i="1"/>
  <c r="L93" i="1"/>
  <c r="E56" i="1"/>
  <c r="D67" i="1"/>
  <c r="H67" i="1"/>
  <c r="N93" i="1"/>
  <c r="E67" i="1"/>
  <c r="F76" i="1"/>
  <c r="O49" i="1"/>
  <c r="D56" i="1"/>
  <c r="I56" i="1"/>
  <c r="F56" i="1"/>
  <c r="O15" i="1"/>
  <c r="O31" i="1"/>
  <c r="C76" i="1"/>
  <c r="D76" i="1"/>
  <c r="G93" i="1"/>
  <c r="O48" i="1"/>
  <c r="D5" i="1"/>
  <c r="D24" i="1"/>
  <c r="D4" i="1" s="1"/>
  <c r="C93" i="1"/>
  <c r="E24" i="1"/>
  <c r="E4" i="1" s="1"/>
  <c r="J67" i="1"/>
  <c r="M24" i="1"/>
  <c r="M4" i="1" s="1"/>
  <c r="N24" i="1"/>
  <c r="N4" i="1" s="1"/>
  <c r="J24" i="1"/>
  <c r="J4" i="1" s="1"/>
  <c r="N56" i="1"/>
  <c r="L56" i="1"/>
  <c r="C67" i="1"/>
  <c r="H56" i="1"/>
  <c r="J93" i="1"/>
  <c r="D29" i="1"/>
  <c r="D34" i="1" s="1"/>
  <c r="J56" i="1"/>
  <c r="I93" i="1"/>
  <c r="C24" i="1"/>
  <c r="C4" i="1" s="1"/>
  <c r="D93" i="1"/>
  <c r="E76" i="1"/>
  <c r="H93" i="1"/>
  <c r="F67" i="1"/>
  <c r="O86" i="1"/>
  <c r="G67" i="1"/>
  <c r="N76" i="1"/>
  <c r="O53" i="1"/>
  <c r="O22" i="1"/>
  <c r="O60" i="1"/>
  <c r="O20" i="1"/>
  <c r="O63" i="1"/>
  <c r="O47" i="1"/>
  <c r="O64" i="1"/>
  <c r="O17" i="1"/>
  <c r="O40" i="1"/>
  <c r="O44" i="1"/>
  <c r="O42" i="1"/>
  <c r="O71" i="1"/>
  <c r="O45" i="1"/>
  <c r="O72" i="1"/>
  <c r="O46" i="1"/>
  <c r="O50" i="1"/>
  <c r="O88" i="1"/>
  <c r="O69" i="1"/>
  <c r="O51" i="1"/>
  <c r="O16" i="1"/>
  <c r="O80" i="1"/>
  <c r="O21" i="1"/>
  <c r="O52" i="1"/>
  <c r="O89" i="1"/>
  <c r="O32" i="1"/>
  <c r="O54" i="1"/>
  <c r="O90" i="1"/>
  <c r="O91" i="1"/>
  <c r="O61" i="1"/>
  <c r="O28" i="1"/>
  <c r="O66" i="1"/>
  <c r="C34" i="1"/>
  <c r="O70" i="1"/>
  <c r="O13" i="1"/>
  <c r="O55" i="1"/>
  <c r="O92" i="1"/>
  <c r="O62" i="1"/>
  <c r="O65" i="1"/>
  <c r="O79" i="1"/>
  <c r="O58" i="1"/>
  <c r="O83" i="1"/>
  <c r="O39" i="1"/>
  <c r="O18" i="1"/>
  <c r="O59" i="1"/>
  <c r="K56" i="1"/>
  <c r="O41" i="1"/>
  <c r="K76" i="1"/>
  <c r="K93" i="1"/>
  <c r="O38" i="1"/>
  <c r="O78" i="1"/>
  <c r="K24" i="1"/>
  <c r="K4" i="1" s="1"/>
  <c r="K67" i="1"/>
  <c r="L360" i="4" l="1"/>
  <c r="L361" i="4" s="1"/>
  <c r="L362" i="4" s="1"/>
  <c r="L295" i="4"/>
  <c r="L296" i="4" s="1"/>
  <c r="L297" i="4" s="1"/>
  <c r="L298" i="4" s="1"/>
  <c r="L299" i="4" s="1"/>
  <c r="L300" i="4" s="1"/>
  <c r="L301" i="4" s="1"/>
  <c r="L302" i="4" s="1"/>
  <c r="L303" i="4" s="1"/>
  <c r="L304" i="4" s="1"/>
  <c r="L305" i="4" s="1"/>
  <c r="L306" i="4" s="1"/>
  <c r="L307" i="4" s="1"/>
  <c r="L308" i="4" s="1"/>
  <c r="L309" i="4" s="1"/>
  <c r="L310" i="4" s="1"/>
  <c r="L311" i="4" s="1"/>
  <c r="L312" i="4" s="1"/>
  <c r="L313" i="4" s="1"/>
  <c r="L314" i="4" s="1"/>
  <c r="L315" i="4" s="1"/>
  <c r="L316" i="4" s="1"/>
  <c r="L317" i="4" s="1"/>
  <c r="L318" i="4" s="1"/>
  <c r="L319" i="4" s="1"/>
  <c r="L320" i="4" s="1"/>
  <c r="L321" i="4" s="1"/>
  <c r="L322" i="4" s="1"/>
  <c r="L323" i="4" s="1"/>
  <c r="L324" i="4" s="1"/>
  <c r="L325" i="4" s="1"/>
  <c r="L326" i="4" s="1"/>
  <c r="L327" i="4" s="1"/>
  <c r="L328" i="4" s="1"/>
  <c r="L329" i="4" s="1"/>
  <c r="L237" i="4"/>
  <c r="L238" i="4" s="1"/>
  <c r="L239" i="4" s="1"/>
  <c r="L240" i="4" s="1"/>
  <c r="L241" i="4" s="1"/>
  <c r="L242" i="4" s="1"/>
  <c r="L243" i="4" s="1"/>
  <c r="L244" i="4" s="1"/>
  <c r="L245" i="4" s="1"/>
  <c r="L246" i="4" s="1"/>
  <c r="L247" i="4" s="1"/>
  <c r="L248" i="4" s="1"/>
  <c r="L249" i="4" s="1"/>
  <c r="L250" i="4" s="1"/>
  <c r="L118" i="4"/>
  <c r="M7" i="1"/>
  <c r="M5" i="7"/>
  <c r="M6" i="7" s="1"/>
  <c r="L5" i="7"/>
  <c r="L6" i="7" s="1"/>
  <c r="L7" i="1"/>
  <c r="J7" i="1"/>
  <c r="J5" i="7"/>
  <c r="J6" i="7" s="1"/>
  <c r="O72" i="7"/>
  <c r="O65" i="7"/>
  <c r="H7" i="1"/>
  <c r="H5" i="7"/>
  <c r="H6" i="7" s="1"/>
  <c r="O47" i="7"/>
  <c r="O22" i="7"/>
  <c r="O5" i="1"/>
  <c r="O58" i="7"/>
  <c r="F7" i="1"/>
  <c r="F5" i="7"/>
  <c r="F6" i="7" s="1"/>
  <c r="E31" i="7"/>
  <c r="O74" i="7"/>
  <c r="D5" i="7"/>
  <c r="D6" i="7" s="1"/>
  <c r="D7" i="1"/>
  <c r="G31" i="7"/>
  <c r="H27" i="7"/>
  <c r="C7" i="7"/>
  <c r="D3" i="7" s="1"/>
  <c r="D7" i="7" s="1"/>
  <c r="E3" i="7" s="1"/>
  <c r="E7" i="7" s="1"/>
  <c r="F3" i="7" s="1"/>
  <c r="F7" i="7" s="1"/>
  <c r="G3" i="7" s="1"/>
  <c r="G7" i="7" s="1"/>
  <c r="H3" i="7" s="1"/>
  <c r="H7" i="7" s="1"/>
  <c r="I3" i="7" s="1"/>
  <c r="I7" i="7" s="1"/>
  <c r="J3" i="7" s="1"/>
  <c r="J7" i="7" s="1"/>
  <c r="K3" i="7" s="1"/>
  <c r="K7" i="7" s="1"/>
  <c r="L3" i="7" s="1"/>
  <c r="L7" i="7" s="1"/>
  <c r="M3" i="7" s="1"/>
  <c r="M7" i="7" s="1"/>
  <c r="N3" i="7" s="1"/>
  <c r="N7" i="7" s="1"/>
  <c r="L759" i="4"/>
  <c r="L760" i="4" s="1"/>
  <c r="L761" i="4" s="1"/>
  <c r="L762" i="4" s="1"/>
  <c r="L763" i="4" s="1"/>
  <c r="L764" i="4" s="1"/>
  <c r="M95" i="1"/>
  <c r="M6" i="1" s="1"/>
  <c r="M8" i="1" s="1"/>
  <c r="G95" i="1"/>
  <c r="G6" i="1" s="1"/>
  <c r="G8" i="1" s="1"/>
  <c r="H95" i="1"/>
  <c r="H6" i="1" s="1"/>
  <c r="H8" i="1" s="1"/>
  <c r="I95" i="1"/>
  <c r="I6" i="1" s="1"/>
  <c r="I8" i="1" s="1"/>
  <c r="E29" i="1"/>
  <c r="F29" i="1" s="1"/>
  <c r="G29" i="1" s="1"/>
  <c r="H29" i="1" s="1"/>
  <c r="I29" i="1" s="1"/>
  <c r="J29" i="1" s="1"/>
  <c r="K29" i="1" s="1"/>
  <c r="L29" i="1" s="1"/>
  <c r="M29" i="1" s="1"/>
  <c r="N29" i="1" s="1"/>
  <c r="D95" i="1"/>
  <c r="D6" i="1" s="1"/>
  <c r="D8" i="1" s="1"/>
  <c r="F95" i="1"/>
  <c r="F6" i="1" s="1"/>
  <c r="F8" i="1" s="1"/>
  <c r="E95" i="1"/>
  <c r="E6" i="1" s="1"/>
  <c r="E8" i="1" s="1"/>
  <c r="J95" i="1"/>
  <c r="J6" i="1" s="1"/>
  <c r="J8" i="1" s="1"/>
  <c r="O76" i="1"/>
  <c r="F30" i="1"/>
  <c r="G30" i="1" s="1"/>
  <c r="N95" i="1"/>
  <c r="N6" i="1" s="1"/>
  <c r="N8" i="1" s="1"/>
  <c r="L95" i="1"/>
  <c r="L6" i="1" s="1"/>
  <c r="L8" i="1" s="1"/>
  <c r="O67" i="1"/>
  <c r="C95" i="1"/>
  <c r="C6" i="1" s="1"/>
  <c r="C8" i="1" s="1"/>
  <c r="O24" i="1"/>
  <c r="O93" i="1"/>
  <c r="K95" i="1"/>
  <c r="K6" i="1" s="1"/>
  <c r="O56" i="1"/>
  <c r="O4" i="1"/>
  <c r="L363" i="4" l="1"/>
  <c r="L364" i="4" s="1"/>
  <c r="L365" i="4" s="1"/>
  <c r="L366" i="4" s="1"/>
  <c r="L367" i="4" s="1"/>
  <c r="L368" i="4" s="1"/>
  <c r="L369" i="4" s="1"/>
  <c r="L370" i="4" s="1"/>
  <c r="L371" i="4" s="1"/>
  <c r="L372" i="4" s="1"/>
  <c r="L373" i="4" s="1"/>
  <c r="L330" i="4"/>
  <c r="L331" i="4" s="1"/>
  <c r="L332" i="4" s="1"/>
  <c r="L333" i="4" s="1"/>
  <c r="L334" i="4" s="1"/>
  <c r="L335" i="4" s="1"/>
  <c r="L336" i="4" s="1"/>
  <c r="L337" i="4" s="1"/>
  <c r="L251" i="4"/>
  <c r="L252" i="4" s="1"/>
  <c r="L253" i="4" s="1"/>
  <c r="L119" i="4"/>
  <c r="L120" i="4" s="1"/>
  <c r="L121" i="4" s="1"/>
  <c r="O7" i="1"/>
  <c r="H31" i="7"/>
  <c r="I27" i="7"/>
  <c r="L765" i="4"/>
  <c r="L766" i="4" s="1"/>
  <c r="L767" i="4" s="1"/>
  <c r="E34" i="1"/>
  <c r="C9" i="1"/>
  <c r="D3" i="1" s="1"/>
  <c r="D9" i="1" s="1"/>
  <c r="E3" i="1" s="1"/>
  <c r="E9" i="1" s="1"/>
  <c r="F3" i="1" s="1"/>
  <c r="F9" i="1" s="1"/>
  <c r="G3" i="1" s="1"/>
  <c r="G9" i="1" s="1"/>
  <c r="H3" i="1" s="1"/>
  <c r="H9" i="1" s="1"/>
  <c r="I3" i="1" s="1"/>
  <c r="I9" i="1" s="1"/>
  <c r="J3" i="1" s="1"/>
  <c r="J9" i="1" s="1"/>
  <c r="K3" i="1" s="1"/>
  <c r="K9" i="1" s="1"/>
  <c r="L3" i="1" s="1"/>
  <c r="L9" i="1" s="1"/>
  <c r="M3" i="1" s="1"/>
  <c r="M9" i="1" s="1"/>
  <c r="N3" i="1" s="1"/>
  <c r="N9" i="1" s="1"/>
  <c r="O95" i="1"/>
  <c r="O6" i="1"/>
  <c r="F34" i="1"/>
  <c r="O29" i="1"/>
  <c r="O34" i="1" s="1"/>
  <c r="K8" i="1"/>
  <c r="G34" i="1"/>
  <c r="H30" i="1"/>
  <c r="L374" i="4" l="1"/>
  <c r="L254" i="4"/>
  <c r="L255" i="4" s="1"/>
  <c r="L256" i="4" s="1"/>
  <c r="L257" i="4" s="1"/>
  <c r="L258" i="4" s="1"/>
  <c r="L259" i="4" s="1"/>
  <c r="L260" i="4" s="1"/>
  <c r="L261" i="4" s="1"/>
  <c r="L262" i="4" s="1"/>
  <c r="L263" i="4" s="1"/>
  <c r="L122" i="4"/>
  <c r="L123" i="4" s="1"/>
  <c r="J27" i="7"/>
  <c r="I31" i="7"/>
  <c r="L768" i="4"/>
  <c r="L769" i="4" s="1"/>
  <c r="L770" i="4" s="1"/>
  <c r="O8" i="1"/>
  <c r="I30" i="1"/>
  <c r="H34" i="1"/>
  <c r="L375" i="4" l="1"/>
  <c r="L264" i="4"/>
  <c r="L265" i="4" s="1"/>
  <c r="L266" i="4" s="1"/>
  <c r="L267" i="4" s="1"/>
  <c r="L268" i="4" s="1"/>
  <c r="L124" i="4"/>
  <c r="L125" i="4" s="1"/>
  <c r="L126" i="4" s="1"/>
  <c r="J31" i="7"/>
  <c r="K27" i="7"/>
  <c r="L771" i="4"/>
  <c r="L772" i="4" s="1"/>
  <c r="L773" i="4" s="1"/>
  <c r="J30" i="1"/>
  <c r="I34" i="1"/>
  <c r="L376" i="4" l="1"/>
  <c r="L127" i="4"/>
  <c r="L128" i="4" s="1"/>
  <c r="L129" i="4" s="1"/>
  <c r="L130" i="4" s="1"/>
  <c r="L131" i="4" s="1"/>
  <c r="L132" i="4" s="1"/>
  <c r="L27" i="7"/>
  <c r="K31" i="7"/>
  <c r="L774" i="4"/>
  <c r="L775" i="4" s="1"/>
  <c r="L776" i="4" s="1"/>
  <c r="J34" i="1"/>
  <c r="K30" i="1"/>
  <c r="L377" i="4" l="1"/>
  <c r="L378" i="4" s="1"/>
  <c r="L379" i="4" s="1"/>
  <c r="L380" i="4" s="1"/>
  <c r="L381" i="4" s="1"/>
  <c r="L382" i="4" s="1"/>
  <c r="L383" i="4" s="1"/>
  <c r="L384" i="4" s="1"/>
  <c r="L385" i="4" s="1"/>
  <c r="L386" i="4" s="1"/>
  <c r="L387" i="4" s="1"/>
  <c r="L388" i="4" s="1"/>
  <c r="L389" i="4" s="1"/>
  <c r="L390" i="4" s="1"/>
  <c r="L391" i="4" s="1"/>
  <c r="L392" i="4" s="1"/>
  <c r="L393" i="4" s="1"/>
  <c r="L394" i="4" s="1"/>
  <c r="L395" i="4" s="1"/>
  <c r="L396" i="4" s="1"/>
  <c r="L397" i="4" s="1"/>
  <c r="L398" i="4" s="1"/>
  <c r="L399" i="4" s="1"/>
  <c r="L400" i="4" s="1"/>
  <c r="L401" i="4" s="1"/>
  <c r="L402" i="4" s="1"/>
  <c r="L403" i="4" s="1"/>
  <c r="L404" i="4" s="1"/>
  <c r="L405" i="4" s="1"/>
  <c r="L406" i="4" s="1"/>
  <c r="L407" i="4" s="1"/>
  <c r="L408" i="4" s="1"/>
  <c r="L409" i="4" s="1"/>
  <c r="L410" i="4" s="1"/>
  <c r="L411" i="4" s="1"/>
  <c r="L412" i="4" s="1"/>
  <c r="L413" i="4" s="1"/>
  <c r="L414" i="4" s="1"/>
  <c r="L415" i="4" s="1"/>
  <c r="L416" i="4" s="1"/>
  <c r="L417" i="4" s="1"/>
  <c r="L418" i="4" s="1"/>
  <c r="L133" i="4"/>
  <c r="L134" i="4" s="1"/>
  <c r="L135" i="4" s="1"/>
  <c r="L136" i="4" s="1"/>
  <c r="L137" i="4" s="1"/>
  <c r="L138" i="4" s="1"/>
  <c r="L139" i="4" s="1"/>
  <c r="L140" i="4" s="1"/>
  <c r="L141" i="4" s="1"/>
  <c r="L142" i="4" s="1"/>
  <c r="L143" i="4" s="1"/>
  <c r="L144" i="4" s="1"/>
  <c r="L145" i="4" s="1"/>
  <c r="L146" i="4" s="1"/>
  <c r="L147" i="4" s="1"/>
  <c r="L148" i="4" s="1"/>
  <c r="L149" i="4" s="1"/>
  <c r="L31" i="7"/>
  <c r="M27" i="7"/>
  <c r="L777" i="4"/>
  <c r="L778" i="4" s="1"/>
  <c r="L779" i="4" s="1"/>
  <c r="L780" i="4" s="1"/>
  <c r="L781" i="4" s="1"/>
  <c r="K34" i="1"/>
  <c r="L30" i="1"/>
  <c r="L150" i="4" l="1"/>
  <c r="L151" i="4" s="1"/>
  <c r="L152" i="4" s="1"/>
  <c r="L153" i="4" s="1"/>
  <c r="L154" i="4" s="1"/>
  <c r="N27" i="7"/>
  <c r="M31" i="7"/>
  <c r="M30" i="1"/>
  <c r="L34" i="1"/>
  <c r="L155" i="4" l="1"/>
  <c r="L156" i="4" s="1"/>
  <c r="L157" i="4" s="1"/>
  <c r="L158" i="4" s="1"/>
  <c r="L159" i="4" s="1"/>
  <c r="L160" i="4" s="1"/>
  <c r="L161" i="4" s="1"/>
  <c r="N31" i="7"/>
  <c r="O27" i="7"/>
  <c r="O31" i="7" s="1"/>
  <c r="N30" i="1"/>
  <c r="N34" i="1" s="1"/>
  <c r="M34" i="1"/>
  <c r="L162" i="4" l="1"/>
  <c r="L163" i="4" s="1"/>
  <c r="L164" i="4" s="1"/>
  <c r="L165" i="4" s="1"/>
  <c r="L166" i="4" s="1"/>
  <c r="L167" i="4" s="1"/>
  <c r="L168" i="4" s="1"/>
  <c r="L169" i="4" s="1"/>
  <c r="L170" i="4" s="1"/>
  <c r="L171" i="4" s="1"/>
  <c r="L172" i="4" s="1"/>
  <c r="L621" i="4" l="1"/>
  <c r="L622" i="4" s="1"/>
  <c r="L623" i="4" s="1"/>
  <c r="L624" i="4" s="1"/>
  <c r="L625" i="4" s="1"/>
  <c r="L626" i="4" s="1"/>
  <c r="L627" i="4" s="1"/>
  <c r="L628" i="4" s="1"/>
  <c r="L629" i="4" s="1"/>
  <c r="L630" i="4" s="1"/>
  <c r="L631" i="4" s="1"/>
  <c r="L632" i="4" s="1"/>
  <c r="L633" i="4" s="1"/>
  <c r="L634" i="4" s="1"/>
  <c r="L635" i="4" s="1"/>
  <c r="L636" i="4" s="1"/>
  <c r="L637" i="4" s="1"/>
  <c r="L638" i="4" s="1"/>
  <c r="L639" i="4" s="1"/>
  <c r="L640" i="4" s="1"/>
  <c r="L641" i="4" s="1"/>
  <c r="L642" i="4" s="1"/>
  <c r="L643" i="4" s="1"/>
  <c r="L644" i="4" s="1"/>
  <c r="L645" i="4" s="1"/>
  <c r="L646" i="4" s="1"/>
  <c r="L647" i="4" s="1"/>
  <c r="L648" i="4" s="1"/>
  <c r="L649" i="4" s="1"/>
  <c r="L650" i="4" s="1"/>
  <c r="L651" i="4" s="1"/>
  <c r="L652" i="4" s="1"/>
  <c r="L653" i="4" s="1"/>
  <c r="L654" i="4" s="1"/>
  <c r="L655" i="4" s="1"/>
  <c r="L656" i="4" s="1"/>
  <c r="L657" i="4" s="1"/>
  <c r="L658" i="4" s="1"/>
  <c r="L659" i="4" s="1"/>
  <c r="L660" i="4" s="1"/>
  <c r="L661" i="4" s="1"/>
  <c r="L662" i="4" s="1"/>
  <c r="L663" i="4" s="1"/>
  <c r="L664" i="4" s="1"/>
  <c r="L665" i="4" s="1"/>
  <c r="L666" i="4" s="1"/>
  <c r="L667" i="4" s="1"/>
  <c r="L668" i="4" s="1"/>
  <c r="L669" i="4" s="1"/>
  <c r="L670" i="4" s="1"/>
  <c r="L671" i="4" s="1"/>
  <c r="L672" i="4" s="1"/>
  <c r="L673" i="4" s="1"/>
  <c r="L674" i="4" s="1"/>
  <c r="L675" i="4" s="1"/>
  <c r="L676" i="4" s="1"/>
  <c r="L677" i="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<sst xmlns="http://schemas.openxmlformats.org/spreadsheetml/2006/main" count="2900" uniqueCount="583">
  <si>
    <t>ENERO</t>
  </si>
  <si>
    <t>MAYO</t>
  </si>
  <si>
    <t>AGOSTO</t>
  </si>
  <si>
    <t>Saldo inicial
[Saldo en cuenta]</t>
  </si>
  <si>
    <t xml:space="preserve">Ingresos totales </t>
  </si>
  <si>
    <t>INGRESOS NETOS</t>
  </si>
  <si>
    <t>Saldo final proyectado</t>
  </si>
  <si>
    <t>Ingresos por intereses</t>
  </si>
  <si>
    <t>TOTAL</t>
  </si>
  <si>
    <t>Otro</t>
  </si>
  <si>
    <t>Pagos de automóviles</t>
  </si>
  <si>
    <t>Seguro de Auto</t>
  </si>
  <si>
    <t>Combustible</t>
  </si>
  <si>
    <t>Transporte Público</t>
  </si>
  <si>
    <t>Limpieza</t>
  </si>
  <si>
    <t>HISTORIAL DE TRANSACCIONES</t>
  </si>
  <si>
    <t>CUENTA</t>
  </si>
  <si>
    <t>FECHA</t>
  </si>
  <si>
    <t>CATEGORÍA</t>
  </si>
  <si>
    <t>EQUILIBRAR</t>
  </si>
  <si>
    <t>SEGUIMIENTO DE TESORERIA</t>
  </si>
  <si>
    <t>Reembolsos</t>
  </si>
  <si>
    <t>Cheques BBVA</t>
  </si>
  <si>
    <t>Efectivo</t>
  </si>
  <si>
    <t>CUENTAS CORRIENTES</t>
  </si>
  <si>
    <t>LINEAS DE CREDITO</t>
  </si>
  <si>
    <t>OTROS ACTIVOS</t>
  </si>
  <si>
    <t>OTROS PASIVOS</t>
  </si>
  <si>
    <t>GASTOS OPERATIVOS</t>
  </si>
  <si>
    <t>CAPITAL</t>
  </si>
  <si>
    <t>INGRESOS</t>
  </si>
  <si>
    <t>RECURSOS HUMANOS</t>
  </si>
  <si>
    <t>LOGISTICA</t>
  </si>
  <si>
    <t>Seguro Social</t>
  </si>
  <si>
    <t>INFONAVIT</t>
  </si>
  <si>
    <t>Capacitacion</t>
  </si>
  <si>
    <t>Viaticos</t>
  </si>
  <si>
    <t>Incentivos/Bonos</t>
  </si>
  <si>
    <t>EPP/Uniformes</t>
  </si>
  <si>
    <t>Comisiones</t>
  </si>
  <si>
    <t>Miscelaneo</t>
  </si>
  <si>
    <t>Fondo Liquido</t>
  </si>
  <si>
    <t>Capital en Inversion</t>
  </si>
  <si>
    <t>Cuentas por Cobrar</t>
  </si>
  <si>
    <t>Liquidaciones</t>
  </si>
  <si>
    <t>Deducibles</t>
  </si>
  <si>
    <t>Prestamos de Nomina</t>
  </si>
  <si>
    <t>SERVICIOS</t>
  </si>
  <si>
    <t>Caja de Ahorro</t>
  </si>
  <si>
    <t>RECURSOS MATERIALES</t>
  </si>
  <si>
    <t>Material de Construccion</t>
  </si>
  <si>
    <t>Comisiones Bancarias</t>
  </si>
  <si>
    <t>Servicios Profesionales</t>
  </si>
  <si>
    <t>Mano de Obra</t>
  </si>
  <si>
    <t>BENEFICIARIO/PROVEEDOR</t>
  </si>
  <si>
    <t>FEBRERO</t>
  </si>
  <si>
    <t>MARZO</t>
  </si>
  <si>
    <t>ABRIL</t>
  </si>
  <si>
    <t>JUNIO</t>
  </si>
  <si>
    <t>JULIO</t>
  </si>
  <si>
    <t>SEPTIEMBRE</t>
  </si>
  <si>
    <t>OCTUBRE</t>
  </si>
  <si>
    <t>NOVIEMBRE</t>
  </si>
  <si>
    <t>DICIEMBRE</t>
  </si>
  <si>
    <t>SUB CATEGORIA</t>
  </si>
  <si>
    <t>Sueldos y Salarios</t>
  </si>
  <si>
    <t>Impuestos y Refrendos</t>
  </si>
  <si>
    <t>Registros y Licencias</t>
  </si>
  <si>
    <t>Reparaciones y Mantenimientos</t>
  </si>
  <si>
    <t>Electricidad CFE</t>
  </si>
  <si>
    <t>Internet y Telefonico</t>
  </si>
  <si>
    <t>Pintura Barniz</t>
  </si>
  <si>
    <t>Fondeo Externo y Pasivos</t>
  </si>
  <si>
    <t>INGRESO</t>
  </si>
  <si>
    <t>EGRESO</t>
  </si>
  <si>
    <t>DESCRIPCION</t>
  </si>
  <si>
    <t>NO. FACTURA</t>
  </si>
  <si>
    <t>NO. PROYECTO</t>
  </si>
  <si>
    <t>GASTOS INTERNOS</t>
  </si>
  <si>
    <t>SELENE RIVERA ALCAZAR</t>
  </si>
  <si>
    <t>NO APLICA</t>
  </si>
  <si>
    <t>Otros Servicios</t>
  </si>
  <si>
    <t>2.5% Sobre Nomina</t>
  </si>
  <si>
    <t>GPS Over Track Pago</t>
  </si>
  <si>
    <t>GPS Over Track Cobro</t>
  </si>
  <si>
    <t>Otro RRHH</t>
  </si>
  <si>
    <t>Servicios de Gestion</t>
  </si>
  <si>
    <t>Egresos Totales</t>
  </si>
  <si>
    <t>Ingresos Estimados</t>
  </si>
  <si>
    <t>Egresos Estimados</t>
  </si>
  <si>
    <t>Material de Construccion Interno</t>
  </si>
  <si>
    <t>Articulos Infraestructura Interna</t>
  </si>
  <si>
    <t>Capital en Caja de Ahorro</t>
  </si>
  <si>
    <t>Intereses Caja de Ahorro</t>
  </si>
  <si>
    <t>Hardware Tecnologia</t>
  </si>
  <si>
    <t>ISR</t>
  </si>
  <si>
    <t>JOSE ACOSTA FARIAS</t>
  </si>
  <si>
    <t>DERIK ALEXIS CHABLE PASCUAL</t>
  </si>
  <si>
    <t>YARA ODILIA RIVERA MARQUEZ</t>
  </si>
  <si>
    <t>Venta de Alevines</t>
  </si>
  <si>
    <t>Venta de Alimento</t>
  </si>
  <si>
    <t>Venta Medicamentos/Vitaminas</t>
  </si>
  <si>
    <t>Compra de Alevines</t>
  </si>
  <si>
    <t>Compra de Alimento</t>
  </si>
  <si>
    <t>Compra de Medicamentos</t>
  </si>
  <si>
    <t>Casetas/Peajes</t>
  </si>
  <si>
    <t>Compra de Articulos Para Venta</t>
  </si>
  <si>
    <t>PENDIENTE</t>
  </si>
  <si>
    <t>NOMINA</t>
  </si>
  <si>
    <t>Articulos de Mantenimiento</t>
  </si>
  <si>
    <t>VAQUEIROS FERRETEROS</t>
  </si>
  <si>
    <t>Aguinaldo</t>
  </si>
  <si>
    <t>Vacaciones NO Disfrutadas</t>
  </si>
  <si>
    <t>Prima Vacacional</t>
  </si>
  <si>
    <t>PATRICIO ACOSTA FARIAS</t>
  </si>
  <si>
    <t>Compra de Articulos Limpieza y Desinfeccion</t>
  </si>
  <si>
    <t>Venta de Mojarras (Kg)</t>
  </si>
  <si>
    <t>Gastos Medicos</t>
  </si>
  <si>
    <t>Devolucion de Alevines</t>
  </si>
  <si>
    <t>Compra Reproductores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</si>
  <si>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</si>
  <si>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</si>
  <si>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</si>
  <si>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</si>
  <si>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</si>
  <si>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</si>
  <si>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</si>
  <si>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</si>
  <si>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</si>
  <si>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</si>
  <si>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</si>
  <si>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</si>
  <si>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Contectores de Mangueras</t>
  </si>
  <si>
    <t>MANANTIAL DE VIDA</t>
  </si>
  <si>
    <t>Pastel y Rosca</t>
  </si>
  <si>
    <t>CAJA DE AHORRO</t>
  </si>
  <si>
    <t>ELEAZER RIOS JIMENEZ / ACUICOLA TRES RIOS</t>
  </si>
  <si>
    <t>Venta Alevines (6,750)</t>
  </si>
  <si>
    <t>GAM-0125002</t>
  </si>
  <si>
    <t>JORGE GAXIOLA</t>
  </si>
  <si>
    <t>GAM-0125001</t>
  </si>
  <si>
    <t>Venta Alevines (1,000)</t>
  </si>
  <si>
    <t>FERRETERIA CHISPITA</t>
  </si>
  <si>
    <t>Malla Mirinaque</t>
  </si>
  <si>
    <t>JYY AGROPECUARIA DE TABASCO</t>
  </si>
  <si>
    <t>BA 10871</t>
  </si>
  <si>
    <t>Alimento Hormonado y Dyno</t>
  </si>
  <si>
    <t>MATERIALES "SAN ROMAN"</t>
  </si>
  <si>
    <t>A4-7770</t>
  </si>
  <si>
    <t>Cemento Gris y Cal</t>
  </si>
  <si>
    <t>JC Jr.</t>
  </si>
  <si>
    <t>C 601757</t>
  </si>
  <si>
    <t>Tensores, Conectores PVC Macho/Hembra</t>
  </si>
  <si>
    <t>ARTURO RABELO</t>
  </si>
  <si>
    <t>GAM-0125003</t>
  </si>
  <si>
    <t>Venta Alevines (7,500)</t>
  </si>
  <si>
    <t>ALEJANDRO DOMINGUEZ</t>
  </si>
  <si>
    <t>GAM-0125004</t>
  </si>
  <si>
    <t>Venta Alevines (420)</t>
  </si>
  <si>
    <t>MAIL BOXES ETC</t>
  </si>
  <si>
    <t>Envio Documentos a Senasica Certificacion</t>
  </si>
  <si>
    <t>Certificaciones</t>
  </si>
  <si>
    <t>SENASICA</t>
  </si>
  <si>
    <t>Pago Derechos Certificacion</t>
  </si>
  <si>
    <t>Venta de Alevines (500)</t>
  </si>
  <si>
    <t>PEDRO MORA</t>
  </si>
  <si>
    <t>Venta de Alevines (800)</t>
  </si>
  <si>
    <t>Venta de Alevines (7000)</t>
  </si>
  <si>
    <t>Venta de Alevines (120)</t>
  </si>
  <si>
    <t>MIGUEL PEREZ</t>
  </si>
  <si>
    <t>Venta de Alevines (2,000)</t>
  </si>
  <si>
    <t>JOSE ALFREDO ACOSTA FARIAS</t>
  </si>
  <si>
    <t>DERKI ALEXIS CHABLE PASCUAL</t>
  </si>
  <si>
    <t>PATRICIO ACOSTA</t>
  </si>
  <si>
    <t>DEYSI TORRES</t>
  </si>
  <si>
    <t>GAM-0225001</t>
  </si>
  <si>
    <t>GAM-0225002</t>
  </si>
  <si>
    <t>GAM-0225003</t>
  </si>
  <si>
    <t>GAM-0225004</t>
  </si>
  <si>
    <t>GAM-0225005</t>
  </si>
  <si>
    <t>GAM-0225006</t>
  </si>
  <si>
    <t>GAM-0225007</t>
  </si>
  <si>
    <t>Venta de Alevines (1,000)</t>
  </si>
  <si>
    <t>GAM-0225008</t>
  </si>
  <si>
    <t>GAM-0225010</t>
  </si>
  <si>
    <t>GAM-0225009</t>
  </si>
  <si>
    <t>Venta de Alevines (1,100)</t>
  </si>
  <si>
    <t>H 501180</t>
  </si>
  <si>
    <t>Interruptores y Flotador Bomba</t>
  </si>
  <si>
    <t>RODOLFO SANCHEZ VIMIFOS</t>
  </si>
  <si>
    <t>Alimento VIMIFOS</t>
  </si>
  <si>
    <t>Reposicion JC Jr.</t>
  </si>
  <si>
    <t>"LA TILAPIA EXPRESS"</t>
  </si>
  <si>
    <t>Coca cola 3 lts</t>
  </si>
  <si>
    <t>Financiamiento Santander</t>
  </si>
  <si>
    <t>RODOLFO SANCHEZ</t>
  </si>
  <si>
    <t>COOPERATIVA LA ANGOSTURA</t>
  </si>
  <si>
    <t>GAM-0325002</t>
  </si>
  <si>
    <t xml:space="preserve">Venta (22,000 Alevines) </t>
  </si>
  <si>
    <t>GUTZA</t>
  </si>
  <si>
    <t>Cucharones, Palanganas</t>
  </si>
  <si>
    <t>MERCADO LIBRE</t>
  </si>
  <si>
    <t>Bomba 3 HP</t>
  </si>
  <si>
    <t>H 503693</t>
  </si>
  <si>
    <t>Niples y Reductores Galvanizados para bomba</t>
  </si>
  <si>
    <t>GAM-0325003</t>
  </si>
  <si>
    <t xml:space="preserve">Venta (200 Alevines) </t>
  </si>
  <si>
    <t>ELENITA CRISTEL REYES GARCIA</t>
  </si>
  <si>
    <t>GAM-0325001</t>
  </si>
  <si>
    <t xml:space="preserve">Venta (500 Alevines) </t>
  </si>
  <si>
    <t>GAMALI-0324001</t>
  </si>
  <si>
    <t>1 Kg</t>
  </si>
  <si>
    <t>BERENICE ALFONSO</t>
  </si>
  <si>
    <t>GAM-0325004</t>
  </si>
  <si>
    <t xml:space="preserve">Venta (8,000 Alevines) </t>
  </si>
  <si>
    <t>Comision Febrero</t>
  </si>
  <si>
    <t>No abono a caja de ahorro</t>
  </si>
  <si>
    <t>DAVID JIMENEZ</t>
  </si>
  <si>
    <t>GAMALI-0224001</t>
  </si>
  <si>
    <t>2 Kg</t>
  </si>
  <si>
    <t>GAMALI-0224002</t>
  </si>
  <si>
    <t>GAMALI-0224003</t>
  </si>
  <si>
    <t>3 Kg</t>
  </si>
  <si>
    <t>JAIME LASTRA</t>
  </si>
  <si>
    <t>GAM-0125005</t>
  </si>
  <si>
    <t>GAM-0125006</t>
  </si>
  <si>
    <t>Venta Alevines (2,000)</t>
  </si>
  <si>
    <t>Venta Alevines (2,500)</t>
  </si>
  <si>
    <t>GAM-0225011</t>
  </si>
  <si>
    <t>Venta de Alevines (1,500)</t>
  </si>
  <si>
    <t>GAM-0325005</t>
  </si>
  <si>
    <t xml:space="preserve">Venta (700 Alevines) </t>
  </si>
  <si>
    <t>ALEJANDRO JIMENEZ</t>
  </si>
  <si>
    <t>GAM-0325006</t>
  </si>
  <si>
    <t xml:space="preserve">Venta (2,000 Alevines) </t>
  </si>
  <si>
    <t>MARCELO BALESTRA</t>
  </si>
  <si>
    <t>Reproductores Rocky y Chitralados</t>
  </si>
  <si>
    <t>GAM-0325007</t>
  </si>
  <si>
    <t xml:space="preserve">Venta (250 Alevines) </t>
  </si>
  <si>
    <t>RODOLFO TORREBLANCA</t>
  </si>
  <si>
    <t>ACC POLIETILEN</t>
  </si>
  <si>
    <t>C C0000019400</t>
  </si>
  <si>
    <t>Bolsas de Plastico</t>
  </si>
  <si>
    <t>PLASTIC HOME</t>
  </si>
  <si>
    <t>Cubetes Alimento Hormonado, Cedazos, Vasos</t>
  </si>
  <si>
    <t>RESTAURANTE</t>
  </si>
  <si>
    <t>Comida Colecta</t>
  </si>
  <si>
    <t>LA TILAPIA EXPRESS</t>
  </si>
  <si>
    <t>Coca Cola 2.75 lts</t>
  </si>
  <si>
    <t>GAM-0325008</t>
  </si>
  <si>
    <t>GAM-0325009</t>
  </si>
  <si>
    <t xml:space="preserve">Venta (5,000 Alevines) </t>
  </si>
  <si>
    <t>DANIEL BANDALA</t>
  </si>
  <si>
    <t>MANUEL GARCIA VICHEL</t>
  </si>
  <si>
    <t>PMA</t>
  </si>
  <si>
    <t>Rollos Mosquiteros</t>
  </si>
  <si>
    <t>FERNANDO CRUZ MARIN</t>
  </si>
  <si>
    <t>GAM-0325010</t>
  </si>
  <si>
    <t>PEDRO ALVAREZ</t>
  </si>
  <si>
    <t>GAM-0325011</t>
  </si>
  <si>
    <t>GAMALI-0324002</t>
  </si>
  <si>
    <t>5 Kg</t>
  </si>
  <si>
    <t>MATERIALES DE CONSTRUCCION ALAMILLA</t>
  </si>
  <si>
    <t>Cal para estanques</t>
  </si>
  <si>
    <t>JUAN CARLOS JIMENEZ MORALES</t>
  </si>
  <si>
    <t>Transferencia</t>
  </si>
  <si>
    <t>Alimento Hormonado</t>
  </si>
  <si>
    <t>BERENICE LAGUNA</t>
  </si>
  <si>
    <t>GAM-03250112</t>
  </si>
  <si>
    <t>PRADO VERDE</t>
  </si>
  <si>
    <t>GAM-0325013</t>
  </si>
  <si>
    <t xml:space="preserve">Venta (3,600 Alevines) </t>
  </si>
  <si>
    <t>Refrescos Colecta</t>
  </si>
  <si>
    <t>SALVADOR ROMERO</t>
  </si>
  <si>
    <t>MELISSA HIDALGO</t>
  </si>
  <si>
    <t>GAM-0425002</t>
  </si>
  <si>
    <t>GAM-0425003</t>
  </si>
  <si>
    <t xml:space="preserve">Venta (4,000 Alevines) </t>
  </si>
  <si>
    <t xml:space="preserve">Venta (1,500 Alevines) </t>
  </si>
  <si>
    <t>JONATAN MEDAD PEREZ FELIX</t>
  </si>
  <si>
    <t>GAM-0425004</t>
  </si>
  <si>
    <t xml:space="preserve">Venta (1,000 Alevines) </t>
  </si>
  <si>
    <t>ARTURO DORANTES</t>
  </si>
  <si>
    <t>GAM-0425005</t>
  </si>
  <si>
    <t xml:space="preserve">Venta (300 Alevines) </t>
  </si>
  <si>
    <t>Envio Alevines</t>
  </si>
  <si>
    <t>AGROTROPIC SA DE CV</t>
  </si>
  <si>
    <t>Dectomax y jeringas</t>
  </si>
  <si>
    <t>ROBERTO CORDOVA</t>
  </si>
  <si>
    <t>GAMALI-0424001</t>
  </si>
  <si>
    <t>FILEMON MONTESINOS</t>
  </si>
  <si>
    <t>ARMANDO HERNANDEZ</t>
  </si>
  <si>
    <t>GAM-0525001</t>
  </si>
  <si>
    <t>GAM-0525002</t>
  </si>
  <si>
    <t>GAM-0525003</t>
  </si>
  <si>
    <t>1,200 Alevines</t>
  </si>
  <si>
    <t>1,500 Alevines</t>
  </si>
  <si>
    <t>6,000 Alevines</t>
  </si>
  <si>
    <t>CARLOS LOPEZ</t>
  </si>
  <si>
    <t>GAM-0425006</t>
  </si>
  <si>
    <t>GAM-0425007</t>
  </si>
  <si>
    <t xml:space="preserve">Venta (2,500 Alevines) </t>
  </si>
  <si>
    <t>BIOLOGO JORDAN</t>
  </si>
  <si>
    <t>GAM-0425008</t>
  </si>
  <si>
    <t xml:space="preserve">Venta (10,00 Alevines) </t>
  </si>
  <si>
    <t>GAM-0425009</t>
  </si>
  <si>
    <t xml:space="preserve">Venta (1,50 Alevines) </t>
  </si>
  <si>
    <t>ESTACIONAMIENTO</t>
  </si>
  <si>
    <t>Estacionamiento Inscripcion Feria</t>
  </si>
  <si>
    <t>JYY AGRPECUARIA DE TABASCO</t>
  </si>
  <si>
    <t>Material PVC para reparacion</t>
  </si>
  <si>
    <t>2 Coca colas Colecta</t>
  </si>
  <si>
    <t>Alimento Hormonado Se mandaron 9 Kg a GAC</t>
  </si>
  <si>
    <t>BB 21399</t>
  </si>
  <si>
    <t>C 637846</t>
  </si>
  <si>
    <t>Escobas</t>
  </si>
  <si>
    <t>DANIEL GARCIA</t>
  </si>
  <si>
    <t>GAM-0425001</t>
  </si>
  <si>
    <t>10,000 Alevines</t>
  </si>
  <si>
    <t>GAM-0525006</t>
  </si>
  <si>
    <t>230 Alevines</t>
  </si>
  <si>
    <t>GRANJA DEL ZENON</t>
  </si>
  <si>
    <t>GAM-0525004</t>
  </si>
  <si>
    <t>GAM-0525005</t>
  </si>
  <si>
    <t>500 Alevines</t>
  </si>
  <si>
    <t>GAM-0625001</t>
  </si>
  <si>
    <t>19,000 Alevines</t>
  </si>
  <si>
    <t>GAM-625002</t>
  </si>
  <si>
    <t>150 Alevines</t>
  </si>
  <si>
    <t>LEDER GUSTAVO CORDOVA</t>
  </si>
  <si>
    <t>Comision Mayo</t>
  </si>
  <si>
    <t>RUTILO</t>
  </si>
  <si>
    <t>GAM-625003</t>
  </si>
  <si>
    <t>7,000 Alevines</t>
  </si>
  <si>
    <t>ANTONIO</t>
  </si>
  <si>
    <t>GAM-625004</t>
  </si>
  <si>
    <t>3,000 Alevines</t>
  </si>
  <si>
    <t>POLIETILENOS DE TABASCO</t>
  </si>
  <si>
    <t>Bolsas 60 x 90</t>
  </si>
  <si>
    <t>Conectores PVC</t>
  </si>
  <si>
    <t>EUFRASINO GOMEZ LOPEZ</t>
  </si>
  <si>
    <t>MARIA GONZALEZ</t>
  </si>
  <si>
    <t>GAM-625005</t>
  </si>
  <si>
    <t>GAM-625006</t>
  </si>
  <si>
    <t>1,400 Alevines</t>
  </si>
  <si>
    <t>700 Alevines</t>
  </si>
  <si>
    <t>2 Coca colas</t>
  </si>
  <si>
    <t>GASOLINERA</t>
  </si>
  <si>
    <t>Gasolina Planta de Luz</t>
  </si>
  <si>
    <t>H 520240</t>
  </si>
  <si>
    <t>Thinner, Brochas, Pintura Aceite Azul</t>
  </si>
  <si>
    <t>GAM-625007</t>
  </si>
  <si>
    <t>GAM-625008</t>
  </si>
  <si>
    <t>4,000 Alevines</t>
  </si>
  <si>
    <t>OSCAR ALMEIDA</t>
  </si>
  <si>
    <t>GAM-0725002</t>
  </si>
  <si>
    <t>EMMANUEL GARDUÑO VIVEROS</t>
  </si>
  <si>
    <t>A-41</t>
  </si>
  <si>
    <t>GAM-0725003</t>
  </si>
  <si>
    <t>50,000 Alevines</t>
  </si>
  <si>
    <t>H-100</t>
  </si>
  <si>
    <t>Diesel Entrega Champoton</t>
  </si>
  <si>
    <t>Aceite</t>
  </si>
  <si>
    <t>Comision Junio</t>
  </si>
  <si>
    <t>ROBERTO TOLEDO GARCIA</t>
  </si>
  <si>
    <t>GAM-0725004</t>
  </si>
  <si>
    <t>Melaza, Sal, Dyno</t>
  </si>
  <si>
    <t>Compra Articulos Probioticos/Bacterias</t>
  </si>
  <si>
    <t>BIOLOGO CARLOS LOPEZ</t>
  </si>
  <si>
    <t>GAM-0725005</t>
  </si>
  <si>
    <t>2,000 Alevines</t>
  </si>
  <si>
    <t>CLARUS SOLUCIONES INTEGRALES</t>
  </si>
  <si>
    <t>Curso Basico Seguridad Ocupacional</t>
  </si>
  <si>
    <t>BB 25027</t>
  </si>
  <si>
    <t>1 Alimento Hormonado</t>
  </si>
  <si>
    <t>3 Bultos de Sal</t>
  </si>
  <si>
    <t>GAM-0725012</t>
  </si>
  <si>
    <t>GAM-0725013</t>
  </si>
  <si>
    <t>5,000 Alevines</t>
  </si>
  <si>
    <t>1 Coca cola 3 lts</t>
  </si>
  <si>
    <t>8,000 Alevines</t>
  </si>
  <si>
    <t>2,500 Alevines</t>
  </si>
  <si>
    <t>ARTEMIO MORENO</t>
  </si>
  <si>
    <t>GAM-0725006</t>
  </si>
  <si>
    <t>100 Alevines</t>
  </si>
  <si>
    <t>GAM-0725007</t>
  </si>
  <si>
    <t>GAM-0725008</t>
  </si>
  <si>
    <t>200 Alevines</t>
  </si>
  <si>
    <t>GAM-0725009</t>
  </si>
  <si>
    <t>JESUS GERARDO GOMEZ PEREZ</t>
  </si>
  <si>
    <t>GAM-0725010</t>
  </si>
  <si>
    <t>Gasolina Envio</t>
  </si>
  <si>
    <t>FILEMON MONTESINOS RINCON</t>
  </si>
  <si>
    <t>GAM-0725011</t>
  </si>
  <si>
    <t>Gasolina Magna</t>
  </si>
  <si>
    <t>FRANCISCO GOMEZ</t>
  </si>
  <si>
    <t>GAM-0825010</t>
  </si>
  <si>
    <t>ROSA IRENE GOMEZ PEREZ</t>
  </si>
  <si>
    <t>GAM-0825009</t>
  </si>
  <si>
    <t>GAMALI-0824001</t>
  </si>
  <si>
    <t>1 Bulto Polvo</t>
  </si>
  <si>
    <t>TRINIDAD LOPEZ</t>
  </si>
  <si>
    <t>1,000 Alevines</t>
  </si>
  <si>
    <t>1,100 Alevines</t>
  </si>
  <si>
    <t>LANDER</t>
  </si>
  <si>
    <t>13,700 Alevines</t>
  </si>
  <si>
    <t>MARLENE RAMIREZ</t>
  </si>
  <si>
    <t>GAM-0825012</t>
  </si>
  <si>
    <t>BB 26349</t>
  </si>
  <si>
    <t>Sal</t>
  </si>
  <si>
    <t>CENTRAL DE ABASTOS</t>
  </si>
  <si>
    <t>Ajo en Polvo</t>
  </si>
  <si>
    <t>Comision Julio</t>
  </si>
  <si>
    <t>GAM-0825001</t>
  </si>
  <si>
    <t>GAM-0825002</t>
  </si>
  <si>
    <t>240 Alevines</t>
  </si>
  <si>
    <t>GAM-0825005</t>
  </si>
  <si>
    <t>GAM-0825004</t>
  </si>
  <si>
    <t>HERLINDO LOPEZ</t>
  </si>
  <si>
    <t>GAM-0825011</t>
  </si>
  <si>
    <t>JAVIER MENDOZA</t>
  </si>
  <si>
    <t>GAM-0825013</t>
  </si>
  <si>
    <t>GAM-0825014</t>
  </si>
  <si>
    <t>300 Alevines</t>
  </si>
  <si>
    <t>WILBERT CORTAZAR</t>
  </si>
  <si>
    <t>GAM-0825015</t>
  </si>
  <si>
    <t>10 Alevines</t>
  </si>
  <si>
    <t>GAM-0825016</t>
  </si>
  <si>
    <t>20,000 Alevines</t>
  </si>
  <si>
    <t>CARLOS BIMBO</t>
  </si>
  <si>
    <t>350 Alevines</t>
  </si>
  <si>
    <t>GAMALI-0824002</t>
  </si>
  <si>
    <t>1 kg Polvo</t>
  </si>
  <si>
    <t>GAMALI-0824003</t>
  </si>
  <si>
    <t>MONICA GARCIA</t>
  </si>
  <si>
    <t>85 Alevines</t>
  </si>
  <si>
    <t>BA 21865</t>
  </si>
  <si>
    <t>GRANJA EL AMANECER</t>
  </si>
  <si>
    <t>GUADALUPE MAY CENTENO</t>
  </si>
  <si>
    <t>GAM-0925001</t>
  </si>
  <si>
    <t>GAM-0925002</t>
  </si>
  <si>
    <t>LUIS ALBERTO</t>
  </si>
  <si>
    <t>GAM-0925003</t>
  </si>
  <si>
    <t>GAM-0925004</t>
  </si>
  <si>
    <t>GAM-0925005</t>
  </si>
  <si>
    <t>JUAN MANUEL HERNANDEZ ACUIVER</t>
  </si>
  <si>
    <t>VICTOR PEREZ</t>
  </si>
  <si>
    <t>MANUEL ALMEIDA FONSECA</t>
  </si>
  <si>
    <t>FRANCISCO CERINO FARIAS</t>
  </si>
  <si>
    <t>JOSE MONTELONGO</t>
  </si>
  <si>
    <t>GAM-0925006</t>
  </si>
  <si>
    <t>GAM-0925007</t>
  </si>
  <si>
    <t>GAM-0925008</t>
  </si>
  <si>
    <t>GAM-0925009</t>
  </si>
  <si>
    <t>GAM-0925010</t>
  </si>
  <si>
    <t>GAM-0925011</t>
  </si>
  <si>
    <t>GAM-0925012</t>
  </si>
  <si>
    <t>GAMALI-0924001</t>
  </si>
  <si>
    <t>GAMALI-0924002</t>
  </si>
  <si>
    <t>GAMALI-0924003</t>
  </si>
  <si>
    <t>GAMALI-0924004</t>
  </si>
  <si>
    <t>GAM-0825006</t>
  </si>
  <si>
    <t>GAM-0825017</t>
  </si>
  <si>
    <t>GAM-0825020</t>
  </si>
  <si>
    <t>GAM-0825021</t>
  </si>
  <si>
    <t>MARIA DEL ROSARIO PASCUAL</t>
  </si>
  <si>
    <t>ANDRES LORENZO</t>
  </si>
  <si>
    <t>GAM-0825022</t>
  </si>
  <si>
    <t>GAM-0825023</t>
  </si>
  <si>
    <t>GAM-0825024</t>
  </si>
  <si>
    <t>GAM-0825025</t>
  </si>
  <si>
    <t>GAM-0825026</t>
  </si>
  <si>
    <t>GAM-0825027</t>
  </si>
  <si>
    <t>GABRIEL GOMEZ SANCHEZ</t>
  </si>
  <si>
    <t>Viaticos entrega alevines Bombon</t>
  </si>
  <si>
    <t>Comida Criba alevines</t>
  </si>
  <si>
    <t>Bomba Banos</t>
  </si>
  <si>
    <t>Gasolina Entrega Jordan</t>
  </si>
  <si>
    <t>Comision Agosto</t>
  </si>
  <si>
    <t>50,000 Alevines Anticipo</t>
  </si>
  <si>
    <t>GAMALI-0824004</t>
  </si>
  <si>
    <t>ARISTIDES</t>
  </si>
  <si>
    <t>1500 Alevines</t>
  </si>
  <si>
    <t>Multimetro Gancho</t>
  </si>
  <si>
    <t>C C0000020582</t>
  </si>
  <si>
    <t>25 Kg Bolsas</t>
  </si>
  <si>
    <t>LA BODEGUITA</t>
  </si>
  <si>
    <t>Levadura 450 gr.</t>
  </si>
  <si>
    <t>DYNO alimento para perro</t>
  </si>
  <si>
    <t>MOISES RAMOS</t>
  </si>
  <si>
    <t>GAM-0925013</t>
  </si>
  <si>
    <t>GAM-0925014</t>
  </si>
  <si>
    <t>LUIS TORRES</t>
  </si>
  <si>
    <t>JUSTINO PEREZ</t>
  </si>
  <si>
    <t>PRIETO</t>
  </si>
  <si>
    <t>MELQUIADES GONGORA</t>
  </si>
  <si>
    <t>GAM-0925015</t>
  </si>
  <si>
    <t>GAM-0925016</t>
  </si>
  <si>
    <t>GAM-0925017</t>
  </si>
  <si>
    <t>GAM-0925018</t>
  </si>
  <si>
    <t>GAM-0925019</t>
  </si>
  <si>
    <t>GAM-0925020</t>
  </si>
  <si>
    <t>GAMALI-0924007</t>
  </si>
  <si>
    <t>7 kg  Polvo</t>
  </si>
  <si>
    <t>GAMALI-0924006</t>
  </si>
  <si>
    <t>GAMALI-0924005</t>
  </si>
  <si>
    <t>2 kg Polvo</t>
  </si>
  <si>
    <t>JUAN CARLOS JIMENEZ ARA</t>
  </si>
  <si>
    <t>EDGAR</t>
  </si>
  <si>
    <t>Jovenes Construyendo el Futuro</t>
  </si>
  <si>
    <t>Aditivo Peces</t>
  </si>
  <si>
    <t>DESCONOCIDO</t>
  </si>
  <si>
    <t>Imprenta Tabloides</t>
  </si>
  <si>
    <t>Marketing</t>
  </si>
  <si>
    <t>Gasolina</t>
  </si>
  <si>
    <t>BEAT</t>
  </si>
  <si>
    <t>Gasolina entrega ACUIVER</t>
  </si>
  <si>
    <t>Comida colecta</t>
  </si>
  <si>
    <t>COMISION FEDERAL DE ELECTRICIDAD</t>
  </si>
  <si>
    <t>CFE Oficina</t>
  </si>
  <si>
    <t>Diesel Minatitlan</t>
  </si>
  <si>
    <t>JULIO CESAR SANCHEZ LAGUNA</t>
  </si>
  <si>
    <t>Gasolina Plantas</t>
  </si>
  <si>
    <t>OUTLANDER</t>
  </si>
  <si>
    <t>850 Alevines</t>
  </si>
  <si>
    <t>JOSE RODRIGUEZ</t>
  </si>
  <si>
    <t>GAM-0925021</t>
  </si>
  <si>
    <t>ELECTRICA Y PLOMERIA SILVA</t>
  </si>
  <si>
    <t>CENT-85857</t>
  </si>
  <si>
    <t>Valvulas, Cinta Aislante, Abrazaderas</t>
  </si>
  <si>
    <t>BB 28701</t>
  </si>
  <si>
    <t>FARMACIAS SIMILARES</t>
  </si>
  <si>
    <t>Medicamentos Alexis Caida</t>
  </si>
  <si>
    <t>Sal Sin Yodo</t>
  </si>
  <si>
    <t>LUIS ALFREDO MIGUEL</t>
  </si>
  <si>
    <t>ARABEL FOSTER</t>
  </si>
  <si>
    <t>LUPITA FOSTER</t>
  </si>
  <si>
    <t>AGROVETERINARIA EL ZARAPE</t>
  </si>
  <si>
    <t>BERENICE ALFONZO</t>
  </si>
  <si>
    <t>ERNESTO VALENZUELA</t>
  </si>
  <si>
    <t>GAM-0925026</t>
  </si>
  <si>
    <t>GAM-0925027</t>
  </si>
  <si>
    <t>GAM-0925028</t>
  </si>
  <si>
    <t>GAM-0925029</t>
  </si>
  <si>
    <t>GAM-0925030</t>
  </si>
  <si>
    <t>16,000 Alevines</t>
  </si>
  <si>
    <t>4,600 Alevines</t>
  </si>
  <si>
    <t>1 Bulto 0.3 mm</t>
  </si>
  <si>
    <t>GAMALI-0924008</t>
  </si>
  <si>
    <t>GAMALI-0924009</t>
  </si>
  <si>
    <t>2 Bulto 0.3 mm</t>
  </si>
  <si>
    <t>CAMINOS Y PUENTES DE MEXICO</t>
  </si>
  <si>
    <t>Casetas entrega Palenque</t>
  </si>
  <si>
    <t>Gasolina entrega Palenque</t>
  </si>
  <si>
    <t>Alimento Polvo</t>
  </si>
  <si>
    <t>RICARDO BASURTO ZAPATA</t>
  </si>
  <si>
    <t>TIRSON MUNOZ</t>
  </si>
  <si>
    <t>GERARDO</t>
  </si>
  <si>
    <t>DIEGO ARCOS</t>
  </si>
  <si>
    <t>ARMANDO CALDERON</t>
  </si>
  <si>
    <t>GAM-1025001</t>
  </si>
  <si>
    <t>GAM-1025002</t>
  </si>
  <si>
    <t>GAM-1025003</t>
  </si>
  <si>
    <t>GAM-1025004</t>
  </si>
  <si>
    <t>GAM-1025005</t>
  </si>
  <si>
    <t>GAM-1025006</t>
  </si>
  <si>
    <t>GAM-1025007</t>
  </si>
  <si>
    <t>GAM-1025008</t>
  </si>
  <si>
    <t>GAM-1025009</t>
  </si>
  <si>
    <t>GAM-1025010</t>
  </si>
  <si>
    <t>GAM-1025011</t>
  </si>
  <si>
    <t>GAM-1025012</t>
  </si>
  <si>
    <t>GAM-1025013</t>
  </si>
  <si>
    <t>GAM-1025014</t>
  </si>
  <si>
    <t>GAM-1025015</t>
  </si>
  <si>
    <t>GAM-1025016</t>
  </si>
  <si>
    <t>GAM-1025017</t>
  </si>
  <si>
    <t>GAM-1025018</t>
  </si>
  <si>
    <t>GAM-1025019</t>
  </si>
  <si>
    <t>GAM-1025020</t>
  </si>
  <si>
    <t>GAM-1025021</t>
  </si>
  <si>
    <t>PROLITAB</t>
  </si>
  <si>
    <t>Jabones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</si>
</sst>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dd/mm/yyyy;@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entury Gothic"/>
      <family val="1"/>
    </font>
    <font>
      <sz val="10"/>
      <color theme="0"/>
      <name val="Century Gothic"/>
      <family val="1"/>
    </font>
    <font>
      <b/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20"/>
      <color theme="0" tint="-0.499984740745262"/>
      <name val="Century Gothic"/>
      <family val="1"/>
    </font>
    <font>
      <i/>
      <sz val="10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rgb="FF000000"/>
      <name val="Century Gothic"/>
      <family val="1"/>
    </font>
    <font>
      <sz val="10"/>
      <color theme="1"/>
      <name val="Century Gothic"/>
      <family val="2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5">
    <xf numFmtId="0" fontId="0" fillId="0" borderId="0"/>
    <xf numFmtId="44" fontId="1" fillId="0" borderId="0"/>
    <xf numFmtId="0" fontId="2" fillId="0" borderId="0"/>
    <xf numFmtId="0" fontId="3" fillId="0" borderId="0"/>
    <xf numFmtId="0" fontId="2" fillId="0" borderId="0"/>
  </cellStyleXfs>
  <cellXfs count="79">
    <xf numFmtId="0" fontId="0" fillId="0" borderId="0" xfId="0"/>
    <xf numFmtId="0" fontId="4" fillId="0" borderId="0" xfId="0" applyFont="1" applyAlignment="1">
      <alignment wrapText="1"/>
    </xf>
    <xf numFmtId="0" fontId="8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44" fontId="4" fillId="2" borderId="1" xfId="1" applyFont="1" applyFill="1" applyBorder="1" applyAlignment="1">
      <alignment horizontal="left" vertical="center" wrapText="1" indent="1"/>
    </xf>
    <xf numFmtId="44" fontId="4" fillId="4" borderId="0" xfId="1" applyFont="1" applyFill="1" applyAlignment="1">
      <alignment horizontal="left" vertical="center" wrapText="1" indent="1"/>
    </xf>
    <xf numFmtId="44" fontId="4" fillId="0" borderId="2" xfId="1" applyFont="1" applyBorder="1" applyAlignment="1">
      <alignment horizontal="left" vertical="center" wrapText="1" indent="1"/>
    </xf>
    <xf numFmtId="44" fontId="4" fillId="0" borderId="2" xfId="0" applyNumberFormat="1" applyFont="1" applyBorder="1" applyAlignment="1">
      <alignment horizontal="left" vertical="center" wrapText="1" indent="1"/>
    </xf>
    <xf numFmtId="0" fontId="4" fillId="4" borderId="3" xfId="0" applyFont="1" applyFill="1" applyBorder="1" applyAlignment="1">
      <alignment horizontal="left" vertical="center" wrapText="1" indent="1"/>
    </xf>
    <xf numFmtId="0" fontId="4" fillId="4" borderId="0" xfId="0" applyFont="1" applyFill="1" applyAlignment="1">
      <alignment horizontal="left" vertical="center" wrapText="1" indent="1"/>
    </xf>
    <xf numFmtId="0" fontId="4" fillId="4" borderId="4" xfId="0" applyFont="1" applyFill="1" applyBorder="1" applyAlignment="1">
      <alignment horizontal="left" vertical="center" wrapText="1" indent="1"/>
    </xf>
    <xf numFmtId="44" fontId="4" fillId="4" borderId="4" xfId="0" applyNumberFormat="1" applyFont="1" applyFill="1" applyBorder="1" applyAlignment="1">
      <alignment horizontal="left" vertical="center" wrapText="1" indent="1"/>
    </xf>
    <xf numFmtId="0" fontId="10" fillId="3" borderId="5" xfId="0" applyFont="1" applyFill="1" applyBorder="1" applyAlignment="1">
      <alignment horizontal="left" vertical="center" wrapText="1" indent="1"/>
    </xf>
    <xf numFmtId="0" fontId="5" fillId="3" borderId="6" xfId="0" applyFont="1" applyFill="1" applyBorder="1" applyAlignment="1">
      <alignment horizontal="left" vertical="center" wrapText="1" indent="1"/>
    </xf>
    <xf numFmtId="0" fontId="5" fillId="3" borderId="7" xfId="0" applyFont="1" applyFill="1" applyBorder="1" applyAlignment="1">
      <alignment horizontal="left" vertical="center" wrapText="1" indent="1"/>
    </xf>
    <xf numFmtId="0" fontId="6" fillId="5" borderId="5" xfId="0" applyFont="1" applyFill="1" applyBorder="1" applyAlignment="1">
      <alignment horizontal="left" vertical="center" wrapText="1" indent="1"/>
    </xf>
    <xf numFmtId="44" fontId="6" fillId="5" borderId="6" xfId="1" applyFont="1" applyFill="1" applyBorder="1" applyAlignment="1">
      <alignment horizontal="left" vertical="center" wrapText="1" indent="1"/>
    </xf>
    <xf numFmtId="0" fontId="6" fillId="4" borderId="3" xfId="0" applyFont="1" applyFill="1" applyBorder="1" applyAlignment="1">
      <alignment horizontal="left" vertical="center" wrapText="1" indent="1"/>
    </xf>
    <xf numFmtId="44" fontId="11" fillId="8" borderId="0" xfId="0" applyNumberFormat="1" applyFont="1" applyFill="1" applyAlignment="1">
      <alignment horizontal="left" vertical="center" wrapText="1" indent="1"/>
    </xf>
    <xf numFmtId="44" fontId="6" fillId="5" borderId="0" xfId="0" applyNumberFormat="1" applyFont="1" applyFill="1" applyAlignment="1">
      <alignment horizontal="left" vertical="center" wrapText="1" indent="1"/>
    </xf>
    <xf numFmtId="0" fontId="7" fillId="9" borderId="0" xfId="0" applyFont="1" applyFill="1" applyAlignment="1">
      <alignment horizontal="left" vertical="center" wrapText="1" indent="1"/>
    </xf>
    <xf numFmtId="0" fontId="10" fillId="3" borderId="6" xfId="0" applyFont="1" applyFill="1" applyBorder="1" applyAlignment="1">
      <alignment horizontal="left" vertical="center" wrapText="1" indent="1"/>
    </xf>
    <xf numFmtId="0" fontId="10" fillId="3" borderId="7" xfId="0" applyFont="1" applyFill="1" applyBorder="1" applyAlignment="1">
      <alignment horizontal="left" vertical="center" wrapText="1" indent="1"/>
    </xf>
    <xf numFmtId="0" fontId="10" fillId="7" borderId="5" xfId="0" applyFont="1" applyFill="1" applyBorder="1" applyAlignment="1">
      <alignment horizontal="left" vertical="center" wrapText="1" indent="1"/>
    </xf>
    <xf numFmtId="44" fontId="10" fillId="7" borderId="6" xfId="1" applyFont="1" applyFill="1" applyBorder="1" applyAlignment="1">
      <alignment horizontal="left" vertical="center" wrapText="1" indent="1"/>
    </xf>
    <xf numFmtId="0" fontId="5" fillId="7" borderId="6" xfId="0" applyFont="1" applyFill="1" applyBorder="1" applyAlignment="1">
      <alignment horizontal="left" vertical="center" wrapText="1" indent="1"/>
    </xf>
    <xf numFmtId="0" fontId="5" fillId="7" borderId="7" xfId="0" applyFont="1" applyFill="1" applyBorder="1" applyAlignment="1">
      <alignment horizontal="left" vertical="center" wrapText="1" indent="1"/>
    </xf>
    <xf numFmtId="44" fontId="4" fillId="6" borderId="2" xfId="1" applyFont="1" applyFill="1" applyBorder="1" applyAlignment="1">
      <alignment horizontal="left" vertical="center" wrapText="1" indent="1"/>
    </xf>
    <xf numFmtId="44" fontId="1" fillId="0" borderId="0" xfId="1"/>
    <xf numFmtId="0" fontId="0" fillId="10" borderId="0" xfId="0" applyFill="1"/>
    <xf numFmtId="44" fontId="1" fillId="10" borderId="0" xfId="1" applyFill="1"/>
    <xf numFmtId="0" fontId="0" fillId="0" borderId="0" xfId="0" applyAlignment="1">
      <alignment horizontal="center"/>
    </xf>
    <xf numFmtId="0" fontId="5" fillId="7" borderId="6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44" fontId="12" fillId="0" borderId="0" xfId="1" applyFont="1"/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 indent="1"/>
    </xf>
    <xf numFmtId="164" fontId="4" fillId="0" borderId="2" xfId="0" quotePrefix="1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 inden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5" xfId="0" quotePrefix="1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 indent="1"/>
    </xf>
    <xf numFmtId="164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 indent="1"/>
    </xf>
    <xf numFmtId="44" fontId="12" fillId="0" borderId="0" xfId="0" applyNumberFormat="1" applyFont="1"/>
    <xf numFmtId="44" fontId="4" fillId="6" borderId="11" xfId="0" applyNumberFormat="1" applyFont="1" applyFill="1" applyBorder="1" applyAlignment="1">
      <alignment horizontal="left" vertical="center" wrapText="1" indent="1"/>
    </xf>
    <xf numFmtId="0" fontId="10" fillId="7" borderId="0" xfId="0" applyFont="1" applyFill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 indent="1"/>
    </xf>
    <xf numFmtId="44" fontId="4" fillId="4" borderId="2" xfId="0" applyNumberFormat="1" applyFont="1" applyFill="1" applyBorder="1" applyAlignment="1">
      <alignment horizontal="left" vertical="center" wrapText="1" indent="1"/>
    </xf>
    <xf numFmtId="8" fontId="12" fillId="0" borderId="0" xfId="1" applyNumberFormat="1" applyFont="1"/>
    <xf numFmtId="0" fontId="8" fillId="2" borderId="0" xfId="0" applyFont="1" applyFill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44" fontId="12" fillId="0" borderId="0" xfId="1" applyFont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7" xfId="0" applyFont="1" applyBorder="1" applyAlignment="1">
      <alignment horizontal="left" wrapText="1" indent="1"/>
    </xf>
    <xf numFmtId="0" fontId="4" fillId="0" borderId="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6" borderId="2" xfId="0" applyFont="1" applyFill="1" applyBorder="1" applyAlignment="1">
      <alignment horizontal="left" vertical="center" wrapText="1" indent="1"/>
    </xf>
    <xf numFmtId="0" fontId="12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3" fillId="0" borderId="0" xfId="0" quotePrefix="1" applyFont="1" applyAlignment="1">
      <alignment horizontal="center"/>
    </xf>
    <xf numFmtId="0" fontId="13" fillId="0" borderId="0" xfId="0" applyFont="1" applyAlignment="1">
      <alignment horizontal="center"/>
    </xf>
    <xf numFmtId="0" fontId="8" fillId="2" borderId="0" xfId="0" applyFont="1" applyFill="1" applyAlignment="1">
      <alignment horizontal="center" vertical="center"/>
    </xf>
  </cellXfs>
  <cellStyles count="5">
    <cellStyle name="Currency" xfId="1" builtinId="4"/>
    <cellStyle name="Followed Hyperlink" xfId="3" builtinId="9" hidden="1"/>
    <cellStyle name="Hyperlink" xfId="2" builtinId="8" hidden="1"/>
    <cellStyle name="Normal" xfId="0" builtinId="0"/>
    <cellStyle name="Normal 2" xfId="4" xr:uid="{00000000-0005-0000-0000-000004000000}"/>
  </cellStyles>
  <dxfs count="5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 outline="0">
        <left style="thin">
          <color theme="0" tint="-0.249977111117893"/>
        </left>
        <top style="thin">
          <color theme="0" tint="-0.249977111117893"/>
        </top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1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ranja%20Acuicola%20La%20Ceiba/GAC%20Reporte%20de%20Tesoreria%202025.xlsx" TargetMode="External"/><Relationship Id="rId2" Type="http://schemas.openxmlformats.org/officeDocument/2006/relationships/externalLinkPath" Target="https://d.docs.live.net/a1dc0cd5a6abbff4/Documentos/Grupo%20Empresarial/Granja%20Acuicola%20La%20Ceiba/GAC%20Reporte%20de%20Tesoreria%202025.xlsx" TargetMode="External"/><Relationship Id="rId1" Type="http://schemas.openxmlformats.org/officeDocument/2006/relationships/externalLinkPath" Target="/a1dc0cd5a6abbff4/Documentos/Grupo%20Empresarial/Granja%20Acuicola%20La%20Ceiba/GAC%20Reporte%20de%20Tesoreria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oreria Overview"/>
      <sheetName val="Cuentas"/>
      <sheetName val="Entradas y Salidas"/>
      <sheetName val="Estimado"/>
    </sheetNames>
    <sheetDataSet>
      <sheetData sheetId="0"/>
      <sheetData sheetId="1"/>
      <sheetData sheetId="2">
        <row r="9">
          <cell r="E9">
            <v>500</v>
          </cell>
        </row>
      </sheetData>
      <sheetData sheetId="3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2B18EC-AA85-47EE-9F0A-DF91A90E0BDE}" name="Marzo_2024" displayName="Marzo_2024" ref="B113:L173" totalsRowCount="1" headerRowDxfId="598" headerRowBorderDxfId="597" tableBorderDxfId="596">
  <autoFilter ref="B113:L172" xr:uid="{F72B18EC-AA85-47EE-9F0A-DF91A90E0BDE}"/>
  <tableColumns count="11">
    <tableColumn id="1" xr3:uid="{4BF32AC9-7DC6-4B5D-BE94-4C73DF62DE0A}" name="CUENTA" dataDxfId="595" totalsRowDxfId="594"/>
    <tableColumn id="2" xr3:uid="{0707BCE6-206F-41A3-8719-217F478D4091}" name="FECHA" dataDxfId="593" totalsRowDxfId="592"/>
    <tableColumn id="3" xr3:uid="{018C0A28-9098-493A-959F-9B5E2AC24FE3}" name="INGRESO" totalsRowFunction="sum" dataDxfId="591" totalsRowDxfId="590"/>
    <tableColumn id="4" xr3:uid="{4936E006-460B-49A6-8F08-BA7A8D846856}" name="EGRESO" totalsRowFunction="sum" dataDxfId="589" totalsRowDxfId="588"/>
    <tableColumn id="5" xr3:uid="{4D131A88-D36A-490F-BDAC-6549D58CF27F}" name="BENEFICIARIO/PROVEEDOR" dataDxfId="587" totalsRowDxfId="586"/>
    <tableColumn id="6" xr3:uid="{0A44017F-40C5-492B-80E4-B018B879398A}" name="NO. FACTURA" dataDxfId="585" totalsRowDxfId="584"/>
    <tableColumn id="7" xr3:uid="{D2FA4D33-B922-4E18-8F73-8A26AFB81F44}" name="NO. PROYECTO" dataDxfId="583" totalsRowDxfId="582"/>
    <tableColumn id="8" xr3:uid="{326FA7CD-3C16-4F24-98A6-D0731E6557D4}" name="DESCRIPCION" dataDxfId="581" totalsRowDxfId="580"/>
    <tableColumn id="9" xr3:uid="{B6A2D1CC-5E9A-4D37-9664-3D1FC8C655A0}" name="CATEGORÍA" dataDxfId="579" totalsRowDxfId="578"/>
    <tableColumn id="10" xr3:uid="{38C9CF84-CBCA-4134-9661-D4B133101554}" name="SUB CATEGORIA" dataDxfId="577" totalsRowDxfId="576"/>
    <tableColumn id="11" xr3:uid="{48B1F7CD-DFFC-4BAB-BA58-D2A2ACB932A1}" name="EQUILIBRAR" dataDxfId="575" totalsRowDxfId="574">
      <calculatedColumnFormula>IF(ISERROR(OFFSET(L114,-1,0,1,1)+D114-E114),D114-E114,OFFSET(L114,-1,0,1,1)+D114-E114)</calculatedColumnFormula>
    </tableColumn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B856F8-3A88-44BD-B377-14C0032DA988}" name="Enero_2024" displayName="Enero_2024" ref="B5:L47" totalsRowCount="1" headerRowDxfId="573" headerRowBorderDxfId="572" tableBorderDxfId="571">
  <autoFilter ref="B5:L46" xr:uid="{E4B856F8-3A88-44BD-B377-14C0032DA988}"/>
  <tableColumns count="11">
    <tableColumn id="1" xr3:uid="{BA313B8A-5639-4F4F-A2AB-2FA37BAB17C9}" name="CUENTA" dataDxfId="570" totalsRowDxfId="569"/>
    <tableColumn id="2" xr3:uid="{D7F4AE71-EF89-42C2-9BFF-503291A2AEAD}" name="FECHA" dataDxfId="568" totalsRowDxfId="567"/>
    <tableColumn id="3" xr3:uid="{71EA9EA4-3F64-4B96-830C-4F8F65F544DB}" name="INGRESO" totalsRowFunction="sum" dataDxfId="566" totalsRowDxfId="565"/>
    <tableColumn id="4" xr3:uid="{3832F012-747A-443D-B8C7-C55B01FA9D82}" name="EGRESO" totalsRowFunction="sum" dataDxfId="564" totalsRowDxfId="563"/>
    <tableColumn id="5" xr3:uid="{08127265-D7F0-478E-9500-907D881BF1AE}" name="BENEFICIARIO/PROVEEDOR" dataDxfId="562" totalsRowDxfId="561"/>
    <tableColumn id="6" xr3:uid="{A88677FE-F03A-4FF0-B836-9AF29E392916}" name="NO. FACTURA" dataDxfId="560" totalsRowDxfId="559"/>
    <tableColumn id="7" xr3:uid="{7A599DB4-C3C0-4855-9F71-0B46CA90F346}" name="NO. PROYECTO" dataDxfId="558" totalsRowDxfId="557"/>
    <tableColumn id="8" xr3:uid="{0CA13755-C314-436A-9676-90FE8A749275}" name="DESCRIPCION" dataDxfId="556" totalsRowDxfId="555"/>
    <tableColumn id="9" xr3:uid="{BF0B6692-8F63-46BA-ADEF-AD3CA0F66EF3}" name="CATEGORÍA" dataDxfId="554" totalsRowDxfId="553"/>
    <tableColumn id="10" xr3:uid="{13D39344-C869-4657-96B4-F234DAF5CCE9}" name="SUB CATEGORIA" dataDxfId="552" totalsRowDxfId="551"/>
    <tableColumn id="11" xr3:uid="{687139D8-9C5D-4C0F-A88F-96BD4B71061F}" name="EQUILIBRAR" dataDxfId="550" totalsRowDxfId="549">
      <calculatedColumnFormula>IF(ISERROR(OFFSET(L6,-1,0,1,1)+D6-E6),D6-E6,OFFSET(L6,-1,0,1,1)+D6-E6)</calculatedColumnFormula>
    </tableColumn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A29CD9-01E2-4FA7-B3BB-5B5C5D19AF58}" name="Febrero_2024" displayName="Febrero_2024" ref="B50:L110" totalsRowCount="1" headerRowDxfId="548" headerRowBorderDxfId="547" tableBorderDxfId="546">
  <autoFilter ref="B50:L109" xr:uid="{76A29CD9-01E2-4FA7-B3BB-5B5C5D19AF58}"/>
  <tableColumns count="11">
    <tableColumn id="1" xr3:uid="{88E11169-C989-485C-8194-AAE2A13153DC}" name="CUENTA" dataDxfId="545" totalsRowDxfId="544"/>
    <tableColumn id="2" xr3:uid="{D237B700-E712-4967-9439-39750C200C1D}" name="FECHA" dataDxfId="543" totalsRowDxfId="542"/>
    <tableColumn id="3" xr3:uid="{7F1B1564-98DD-41E4-A920-B85EB482BE15}" name="INGRESO" totalsRowFunction="sum" dataDxfId="541" totalsRowDxfId="540"/>
    <tableColumn id="4" xr3:uid="{4CEFC4EA-928B-4D0A-B29C-781B1E65420E}" name="EGRESO" totalsRowFunction="sum" dataDxfId="539" totalsRowDxfId="538"/>
    <tableColumn id="5" xr3:uid="{59120C5C-5D33-42A3-9F90-29EB23156796}" name="BENEFICIARIO/PROVEEDOR" dataDxfId="537" totalsRowDxfId="536"/>
    <tableColumn id="6" xr3:uid="{B5D9F2D4-30DC-4C7E-A454-D5AEF7D50CAD}" name="NO. FACTURA" dataDxfId="535" totalsRowDxfId="534"/>
    <tableColumn id="7" xr3:uid="{A28DA5E9-E901-4237-99CA-00FAAFF9945B}" name="NO. PROYECTO" dataDxfId="533" totalsRowDxfId="532"/>
    <tableColumn id="8" xr3:uid="{D4986C44-4B53-42E9-8F1E-0D162C21032C}" name="DESCRIPCION" dataDxfId="531" totalsRowDxfId="530"/>
    <tableColumn id="9" xr3:uid="{F2BA5FCD-8181-40DD-8AFB-61929C5A9037}" name="CATEGORÍA" dataDxfId="529" totalsRowDxfId="528"/>
    <tableColumn id="10" xr3:uid="{D6E2A15C-138F-4322-A3D0-13294993DB82}" name="SUB CATEGORIA" dataDxfId="527" totalsRowDxfId="526"/>
    <tableColumn id="11" xr3:uid="{4368EFE7-A8CA-468E-8455-1ED5FA26140C}" name="EQUILIBRAR" dataDxfId="525" totalsRowDxfId="524">
      <calculatedColumnFormula>IF(ISERROR(OFFSET(L51,-1,0,1,1)+D51-E51),D51-E51,OFFSET(L51,-1,0,1,1)+D51-E51)</calculatedColumnFormula>
    </tableColumn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3C0655-7958-4A91-8E73-3896F7B0D1F2}" name="Abril_2024" displayName="Abril_2024" ref="B176:L226" totalsRowCount="1" headerRowDxfId="523" headerRowBorderDxfId="522" tableBorderDxfId="521">
  <autoFilter ref="B176:L225" xr:uid="{CB3C0655-7958-4A91-8E73-3896F7B0D1F2}"/>
  <tableColumns count="11">
    <tableColumn id="1" xr3:uid="{211815AF-8318-426A-98B9-C32091EE05CA}" name="CUENTA" dataDxfId="520" totalsRowDxfId="519"/>
    <tableColumn id="2" xr3:uid="{C1501B46-BD28-4398-874F-774CA9745F49}" name="FECHA" dataDxfId="518" totalsRowDxfId="517"/>
    <tableColumn id="3" xr3:uid="{121D60FF-A3C4-4BEC-9142-7A192A7A8F97}" name="INGRESO" totalsRowFunction="sum" dataDxfId="516" totalsRowDxfId="515"/>
    <tableColumn id="4" xr3:uid="{E32B9402-4725-4814-84D7-FDDAC9F1EDB7}" name="EGRESO" totalsRowFunction="sum" dataDxfId="514" totalsRowDxfId="513"/>
    <tableColumn id="5" xr3:uid="{2E2AFDF5-BE2F-40FC-B989-8AF7C492F0B5}" name="BENEFICIARIO/PROVEEDOR" dataDxfId="512" totalsRowDxfId="511"/>
    <tableColumn id="6" xr3:uid="{D05617D3-A79D-48AF-929C-F097AE221303}" name="NO. FACTURA" dataDxfId="510" totalsRowDxfId="509"/>
    <tableColumn id="7" xr3:uid="{2FB0A56F-7BAD-415B-881A-B4877F9F55B0}" name="NO. PROYECTO" dataDxfId="508" totalsRowDxfId="507"/>
    <tableColumn id="8" xr3:uid="{F245E969-27BC-43E2-97E8-194623080025}" name="DESCRIPCION" dataDxfId="506" totalsRowDxfId="505"/>
    <tableColumn id="9" xr3:uid="{9F6E3A57-E314-424E-95E8-0AF20F256C93}" name="CATEGORÍA" dataDxfId="504" totalsRowDxfId="503"/>
    <tableColumn id="10" xr3:uid="{A7D0FC31-03F4-44A2-B4DD-28A4CD67DB59}" name="SUB CATEGORIA" dataDxfId="502" totalsRowDxfId="501"/>
    <tableColumn id="11" xr3:uid="{51D5B60F-3568-466F-8603-E037A167C4B2}" name="EQUILIBRAR" dataDxfId="500" totalsRowDxfId="499">
      <calculatedColumnFormula>IF(ISERROR(OFFSET(L177,-1,0,1,1)+D177-E177),D177-E177,OFFSET(L177,-1,0,1,1)+D177-E177)</calculatedColumnFormula>
    </tableColumn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BE4BC06-6730-4AF8-A5DD-7123DA68FB80}" name="Mayo_2024" displayName="Mayo_2024" ref="B229:L269" totalsRowCount="1" headerRowDxfId="498" headerRowBorderDxfId="497" tableBorderDxfId="496">
  <autoFilter ref="B229:L268" xr:uid="{2BE4BC06-6730-4AF8-A5DD-7123DA68FB80}"/>
  <tableColumns count="11">
    <tableColumn id="1" xr3:uid="{7CAF191B-E05D-48B8-B3F6-464B1327176A}" name="CUENTA" dataDxfId="495" totalsRowDxfId="494"/>
    <tableColumn id="2" xr3:uid="{7A305DCD-D445-4F17-8B1B-56082EF2151D}" name="FECHA" dataDxfId="493" totalsRowDxfId="492"/>
    <tableColumn id="3" xr3:uid="{9A2C669A-332E-4EBD-882F-6C4DBD830831}" name="INGRESO" totalsRowFunction="sum" dataDxfId="491" totalsRowDxfId="490"/>
    <tableColumn id="4" xr3:uid="{638C9250-A9B0-4288-849B-E15A72419A13}" name="EGRESO" totalsRowFunction="sum" dataDxfId="489" totalsRowDxfId="488"/>
    <tableColumn id="5" xr3:uid="{47F150BD-C934-478C-BA09-ED259756D8F6}" name="BENEFICIARIO/PROVEEDOR" dataDxfId="487" totalsRowDxfId="486"/>
    <tableColumn id="6" xr3:uid="{5164FF50-9FF8-4CEC-9813-9DD6389AEF13}" name="NO. FACTURA" dataDxfId="485" totalsRowDxfId="484"/>
    <tableColumn id="7" xr3:uid="{AABC9111-EFB1-451A-BE2D-F15AC53458A8}" name="NO. PROYECTO" dataDxfId="483" totalsRowDxfId="482"/>
    <tableColumn id="8" xr3:uid="{48F0457F-88C1-4A12-8EBA-2DB358AB7435}" name="DESCRIPCION" dataDxfId="481" totalsRowDxfId="480"/>
    <tableColumn id="9" xr3:uid="{639B41B8-7814-4440-A0DB-F44E681888D1}" name="CATEGORÍA" dataDxfId="479" totalsRowDxfId="478"/>
    <tableColumn id="10" xr3:uid="{3C97E635-1344-4E6B-95EF-8218140DE4F4}" name="SUB CATEGORIA" dataDxfId="477" totalsRowDxfId="476"/>
    <tableColumn id="11" xr3:uid="{FD126781-9FB7-40D2-957B-30BDB908DDEC}" name="EQUILIBRAR" dataDxfId="475" totalsRowDxfId="474">
      <calculatedColumnFormula>IF(ISERROR(OFFSET(L230,-1,0,1,1)+D230-E230),D230-E230,OFFSET(L230,-1,0,1,1)+D230-E230)</calculatedColumnFormula>
    </tableColumn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3C7E6BA-C34A-4C53-B5A2-8CEAD12D2F24}" name="Junio_2024" displayName="Junio_2024" ref="B272:L338" totalsRowCount="1" headerRowDxfId="473" headerRowBorderDxfId="472" tableBorderDxfId="471">
  <autoFilter ref="B272:L337" xr:uid="{63C7E6BA-C34A-4C53-B5A2-8CEAD12D2F24}"/>
  <tableColumns count="11">
    <tableColumn id="1" xr3:uid="{1E68D2AF-F670-41D6-A458-30002E7E9674}" name="CUENTA" dataDxfId="470" totalsRowDxfId="469"/>
    <tableColumn id="2" xr3:uid="{6F1EBAEA-E4C1-4BEC-AB5A-A6E5EF4C5B0B}" name="FECHA" dataDxfId="468" totalsRowDxfId="467"/>
    <tableColumn id="3" xr3:uid="{DF7357ED-24A3-4009-BB39-42D16BB03268}" name="INGRESO" totalsRowFunction="sum" totalsRowDxfId="466" dataCellStyle="Currency"/>
    <tableColumn id="4" xr3:uid="{9DEF17D5-999A-4F0F-AE5E-F183650BAD88}" name="EGRESO" totalsRowFunction="sum" dataDxfId="465" totalsRowDxfId="464"/>
    <tableColumn id="5" xr3:uid="{D0A94F7B-F83A-4BA1-876B-EF28661EA4F9}" name="BENEFICIARIO/PROVEEDOR" dataDxfId="463" totalsRowDxfId="462"/>
    <tableColumn id="6" xr3:uid="{67BBFBEB-EFD4-490D-AF21-8230582B57D9}" name="NO. FACTURA" dataDxfId="461" totalsRowDxfId="460"/>
    <tableColumn id="7" xr3:uid="{CAD0A6A3-10F9-4425-B71B-6CC6CE17EBEF}" name="NO. PROYECTO" dataDxfId="459" totalsRowDxfId="458"/>
    <tableColumn id="8" xr3:uid="{B0600A16-478E-49D0-B550-B874A6A05936}" name="DESCRIPCION" dataDxfId="457" totalsRowDxfId="456"/>
    <tableColumn id="9" xr3:uid="{3A8748E7-AD29-4FDC-8CC6-FF8A53F9C4AC}" name="CATEGORÍA" dataDxfId="455" totalsRowDxfId="454"/>
    <tableColumn id="10" xr3:uid="{1B0FE2CB-0A86-4293-90FF-8B871F61B19A}" name="SUB CATEGORIA" dataDxfId="453" totalsRowDxfId="452"/>
    <tableColumn id="11" xr3:uid="{942DC85C-86EF-4C74-8FC5-44AC18770308}" name="EQUILIBRAR" dataDxfId="451" totalsRowDxfId="450">
      <calculatedColumnFormula>IF(ISERROR(OFFSET(L273,-1,0,1,1)+D273-E273),D273-E273,OFFSET(L273,-1,0,1,1)+D273-E273)</calculatedColumnFormula>
    </tableColumn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95205F7-F639-4956-B599-27D9183A95C8}" name="Julio_2024" displayName="Julio_2024" ref="B341:L419" totalsRowCount="1" headerRowDxfId="449" headerRowBorderDxfId="448" tableBorderDxfId="447">
  <autoFilter ref="B341:L418" xr:uid="{E95205F7-F639-4956-B599-27D9183A95C8}"/>
  <tableColumns count="11">
    <tableColumn id="1" xr3:uid="{D7C08BD1-3D5C-4ED0-BF24-215815EF02F7}" name="CUENTA" dataDxfId="446" totalsRowDxfId="445"/>
    <tableColumn id="2" xr3:uid="{C4EC00D1-A22E-4132-A31A-5EDA7CCC43D2}" name="FECHA" dataDxfId="444" totalsRowDxfId="443"/>
    <tableColumn id="3" xr3:uid="{2D0FB686-972C-461A-A0D8-04B7F13E391C}" name="INGRESO" totalsRowFunction="sum" dataDxfId="442" totalsRowDxfId="441"/>
    <tableColumn id="4" xr3:uid="{3E58167C-0AD0-4D2A-9C8E-733EB6E57113}" name="EGRESO" totalsRowFunction="sum" dataDxfId="440" totalsRowDxfId="439"/>
    <tableColumn id="5" xr3:uid="{99874A6D-EBA3-4223-9D41-EAA9BC8F2C46}" name="BENEFICIARIO/PROVEEDOR" dataDxfId="438" totalsRowDxfId="437"/>
    <tableColumn id="6" xr3:uid="{D42DB6A5-41E8-492C-A875-29891D5119DE}" name="NO. FACTURA" dataDxfId="436" totalsRowDxfId="435"/>
    <tableColumn id="7" xr3:uid="{AE593C8A-5D07-4C22-BAC1-FCB8C12F0878}" name="NO. PROYECTO" dataDxfId="434" totalsRowDxfId="433"/>
    <tableColumn id="8" xr3:uid="{BC0C4303-0415-45AB-86A8-0D0D57CE6113}" name="DESCRIPCION" dataDxfId="432" totalsRowDxfId="431"/>
    <tableColumn id="9" xr3:uid="{3D0A01FA-A000-4699-BB95-A0A78BA76131}" name="CATEGORÍA" dataDxfId="430" totalsRowDxfId="429"/>
    <tableColumn id="10" xr3:uid="{23DA5E8A-AB13-4004-B1B5-B77A9DBC3A2A}" name="SUB CATEGORIA" dataDxfId="428" totalsRowDxfId="427"/>
    <tableColumn id="11" xr3:uid="{C4B88FAE-8816-4584-95EF-C7420970B89D}" name="EQUILIBRAR" dataDxfId="426" totalsRowDxfId="425">
      <calculatedColumnFormula>IF(ISERROR(OFFSET(L342,-1,0,1,1)+D342-E342),D342-E342,OFFSET(L342,-1,0,1,1)+D342-E342)</calculatedColumnFormula>
    </tableColumn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5946567-20B3-47DC-972B-0178D8B37F05}" name="Agosto_2024" displayName="Agosto_2024" ref="B422:L500" totalsRowCount="1" headerRowDxfId="424" headerRowBorderDxfId="423" tableBorderDxfId="422">
  <autoFilter ref="B422:L499" xr:uid="{65946567-20B3-47DC-972B-0178D8B37F05}"/>
  <tableColumns count="11">
    <tableColumn id="1" xr3:uid="{4ABED3C8-739F-4982-B14E-D01B93D6F2DF}" name="CUENTA" dataDxfId="421" totalsRowDxfId="420"/>
    <tableColumn id="2" xr3:uid="{5EEEEB57-C647-4D3D-83AE-3281B1CD8B35}" name="FECHA" dataDxfId="419" totalsRowDxfId="418"/>
    <tableColumn id="3" xr3:uid="{DDD0DF19-AEBC-4F34-BBF8-FE169035D6D2}" name="INGRESO" totalsRowFunction="sum" dataDxfId="417" totalsRowDxfId="416"/>
    <tableColumn id="4" xr3:uid="{2CCFD0E1-81BD-455E-85CC-8AF1D8F936E1}" name="EGRESO" totalsRowFunction="sum" dataDxfId="415" totalsRowDxfId="414"/>
    <tableColumn id="5" xr3:uid="{E1074E45-92EB-4227-8E41-2722DCB56C1D}" name="BENEFICIARIO/PROVEEDOR" dataDxfId="413" totalsRowDxfId="412"/>
    <tableColumn id="6" xr3:uid="{B5970769-29FB-4499-9A54-5C6848A42A52}" name="NO. FACTURA" dataDxfId="411" totalsRowDxfId="410"/>
    <tableColumn id="7" xr3:uid="{CAB66B5A-7D6A-43D2-B198-B8414D852710}" name="NO. PROYECTO" dataDxfId="409" totalsRowDxfId="408"/>
    <tableColumn id="8" xr3:uid="{043E9B3A-D0F6-4165-90A7-C1586D5E099A}" name="DESCRIPCION" dataDxfId="407" totalsRowDxfId="406"/>
    <tableColumn id="9" xr3:uid="{48F7266C-D1BD-4465-BD9D-D17CD41EBA56}" name="CATEGORÍA" dataDxfId="405" totalsRowDxfId="404"/>
    <tableColumn id="10" xr3:uid="{F23D61F3-8C09-4400-AE09-7A2D6ECEE473}" name="SUB CATEGORIA" dataDxfId="403" totalsRowDxfId="402"/>
    <tableColumn id="11" xr3:uid="{10D8CCFD-7DB6-4396-BEC8-758C9DFA7FCE}" name="EQUILIBRAR" dataDxfId="401" totalsRowDxfId="400">
      <calculatedColumnFormula>IF(ISERROR(OFFSET(L423,-1,0,1,1)+D423-E423),D423-E423,OFFSET(L423,-1,0,1,1)+D423-E423)</calculatedColumnFormula>
    </tableColumn>
  </tableColumns>
  <tableStyleInfo name="TableStyleMedium9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B83E1EA-2819-4C2C-BFFE-B89D9657029B}" name="Septiembre_2024" displayName="Septiembre_2024" ref="B503:L617" totalsRowCount="1" headerRowDxfId="399" headerRowBorderDxfId="398" tableBorderDxfId="397">
  <autoFilter ref="B503:L616" xr:uid="{3B83E1EA-2819-4C2C-BFFE-B89D9657029B}"/>
  <tableColumns count="11">
    <tableColumn id="1" xr3:uid="{80D03003-4379-4F49-A97E-020D31A3AEEB}" name="CUENTA" dataDxfId="396" totalsRowDxfId="395"/>
    <tableColumn id="2" xr3:uid="{A3C688FE-3349-48EE-8A57-AEF156B99BC1}" name="FECHA" dataDxfId="394" totalsRowDxfId="393"/>
    <tableColumn id="3" xr3:uid="{28F6807D-C8F9-44BF-A416-8DB31B583D6B}" name="INGRESO" totalsRowFunction="sum" dataDxfId="392" totalsRowDxfId="391"/>
    <tableColumn id="4" xr3:uid="{36E5D600-49D5-4310-A593-C0CF03764705}" name="EGRESO" totalsRowFunction="sum" dataDxfId="390" totalsRowDxfId="389"/>
    <tableColumn id="5" xr3:uid="{A6641B14-52DF-4FFE-85A0-7A24D3D3D76D}" name="BENEFICIARIO/PROVEEDOR" dataDxfId="388" totalsRowDxfId="387"/>
    <tableColumn id="6" xr3:uid="{B1F0D360-E91D-43F7-8D17-3108A8507538}" name="NO. FACTURA" dataDxfId="386" totalsRowDxfId="385"/>
    <tableColumn id="7" xr3:uid="{13CF7631-A581-4E48-BE3F-4E351862BC1B}" name="NO. PROYECTO" dataDxfId="384" totalsRowDxfId="383"/>
    <tableColumn id="8" xr3:uid="{056EF10B-8C44-40A7-8BE6-12EA2C3A928C}" name="DESCRIPCION" dataDxfId="382" totalsRowDxfId="381"/>
    <tableColumn id="9" xr3:uid="{C458C042-4F51-414C-A41F-3C12EAB786B4}" name="CATEGORÍA" dataDxfId="380" totalsRowDxfId="379"/>
    <tableColumn id="10" xr3:uid="{E6B9E157-E487-4911-B645-AA5AC95965D5}" name="SUB CATEGORIA" dataDxfId="378" totalsRowDxfId="377"/>
    <tableColumn id="11" xr3:uid="{162C8315-2BAF-432E-843C-FBEB54A9D117}" name="EQUILIBRAR" dataDxfId="376" totalsRowDxfId="375">
      <calculatedColumnFormula>IF(ISERROR(OFFSET(L504,-1,0,1,1)+D504-E504),D504-E504,OFFSET(L504,-1,0,1,1)+D504-E504)</calculatedColumnFormula>
    </tableColumn>
  </tableColumns>
  <tableStyleInfo name="TableStyleMedium9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DE2D86-CCC7-4AF6-AD91-825C2A56D139}" name="Octubre_2024" displayName="Octubre_2024" ref="B620:L678" totalsRowCount="1" headerRowDxfId="374" headerRowBorderDxfId="373" tableBorderDxfId="372">
  <autoFilter ref="B620:L677" xr:uid="{10DE2D86-CCC7-4AF6-AD91-825C2A56D139}"/>
  <sortState xmlns:xlrd2="http://schemas.microsoft.com/office/spreadsheetml/2017/richdata2" ref="B621:L677">
    <sortCondition ref="C620:C677"/>
  </sortState>
  <tableColumns count="11">
    <tableColumn id="1" xr3:uid="{033883AC-5E69-4D28-8E71-1605F72FFE5A}" name="CUENTA" dataDxfId="371" totalsRowDxfId="370"/>
    <tableColumn id="2" xr3:uid="{824081DC-32D9-40E8-A7AF-2912ABE7CB9F}" name="FECHA" dataDxfId="369" totalsRowDxfId="368"/>
    <tableColumn id="3" xr3:uid="{D8A78F81-0E0A-4C24-814E-3F9A95408A6F}" name="INGRESO" totalsRowFunction="sum" dataDxfId="367" totalsRowDxfId="366"/>
    <tableColumn id="4" xr3:uid="{F1A0E49F-DCD8-485B-A723-66DF11638F14}" name="EGRESO" totalsRowFunction="sum" dataDxfId="365" totalsRowDxfId="364"/>
    <tableColumn id="5" xr3:uid="{D7432E01-9FF6-40D1-8908-E113F4527AD6}" name="BENEFICIARIO/PROVEEDOR" dataDxfId="363" totalsRowDxfId="362"/>
    <tableColumn id="6" xr3:uid="{858F61C8-314C-4F87-ADCA-385F30788761}" name="NO. FACTURA" dataDxfId="361" totalsRowDxfId="360"/>
    <tableColumn id="7" xr3:uid="{2F0DCA52-D56C-4766-B9AC-F63C4521D37D}" name="NO. PROYECTO" dataDxfId="359" totalsRowDxfId="358"/>
    <tableColumn id="8" xr3:uid="{D4991599-0898-4EB9-BC90-17F434A88C9D}" name="DESCRIPCION" dataDxfId="357" totalsRowDxfId="356"/>
    <tableColumn id="9" xr3:uid="{E3A61244-E946-41A5-8C18-F593C9D8212D}" name="CATEGORÍA" dataDxfId="355" totalsRowDxfId="354"/>
    <tableColumn id="10" xr3:uid="{3389A836-60B4-4C51-9592-1C67270C71E6}" name="SUB CATEGORIA" dataDxfId="353" totalsRowDxfId="352"/>
    <tableColumn id="11" xr3:uid="{5E6C7E9D-0DBC-43F8-8FA1-68AF691B3AB5}" name="EQUILIBRAR" dataDxfId="351" totalsRowDxfId="350">
      <calculatedColumnFormula>IF(ISERROR(OFFSET(L621,-1,0,1,1)+D621-E621),D621-E621,OFFSET(L621,-1,0,1,1)+D621-E621)</calculatedColumnFormula>
    </tableColumn>
  </tableColumns>
  <tableStyleInfo name="TableStyleMedium9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56E43FB-B7A8-450F-9349-F350A02B4D56}" name="Noviembre_2024" displayName="Noviembre_2024" ref="B681:L732" totalsRowCount="1" headerRowDxfId="349" headerRowBorderDxfId="348" tableBorderDxfId="347">
  <autoFilter ref="B681:L731" xr:uid="{456E43FB-B7A8-450F-9349-F350A02B4D56}"/>
  <tableColumns count="11">
    <tableColumn id="1" xr3:uid="{7F066F5D-F366-4ECF-80FE-86A93621E793}" name="CUENTA" dataDxfId="346" totalsRowDxfId="345"/>
    <tableColumn id="2" xr3:uid="{8C3A5BB4-39C3-4CA8-AA0B-DBAF46836AEE}" name="FECHA" dataDxfId="344" totalsRowDxfId="343"/>
    <tableColumn id="3" xr3:uid="{71054841-7CB8-43F3-AD71-62A1AB9D7432}" name="INGRESO" totalsRowFunction="sum" dataDxfId="342" totalsRowDxfId="341"/>
    <tableColumn id="4" xr3:uid="{C1E008C5-5BD8-4621-AEEC-FCA4DC90F968}" name="EGRESO" totalsRowFunction="sum" dataDxfId="340" totalsRowDxfId="339"/>
    <tableColumn id="5" xr3:uid="{6EC7A9EA-B862-4EDF-AB50-093679841CC8}" name="BENEFICIARIO/PROVEEDOR" dataDxfId="338" totalsRowDxfId="337"/>
    <tableColumn id="6" xr3:uid="{6E4E59AC-E016-4752-8250-69D5FEE25218}" name="NO. FACTURA" dataDxfId="336" totalsRowDxfId="335"/>
    <tableColumn id="7" xr3:uid="{3EECD8BB-024E-4CC9-AAE6-FB708CB5FA8C}" name="NO. PROYECTO" dataDxfId="334" totalsRowDxfId="333"/>
    <tableColumn id="8" xr3:uid="{B3A5C27E-1ADD-416C-8F91-D93878FA45B7}" name="DESCRIPCION" dataDxfId="332" totalsRowDxfId="331"/>
    <tableColumn id="9" xr3:uid="{7EF37622-7DDB-4C6D-A4F7-F2D4DD7320F6}" name="CATEGORÍA" dataDxfId="330" totalsRowDxfId="329"/>
    <tableColumn id="10" xr3:uid="{5666462D-0611-43D0-938B-DCB4AD256DC2}" name="SUB CATEGORIA" dataDxfId="328" totalsRowDxfId="327"/>
    <tableColumn id="11" xr3:uid="{9F161D4D-FDC7-4E01-A430-2C038984F13E}" name="EQUILIBRAR" dataDxfId="326" totalsRowDxfId="325">
      <calculatedColumnFormula>IF(ISERROR(OFFSET(L682,-1,0,1,1)+D682-E682),D682-E682,OFFSET(L682,-1,0,1,1)+D682-E682)</calculatedColumnFormula>
    </tableColumn>
  </tableColumns>
  <tableStyleInfo name="TableStyleMedium9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E725589-9F73-498E-A2C1-1A842779A911}" name="Diciembre_2024" displayName="Diciembre_2024" ref="B735:L782" totalsRowCount="1" headerRowDxfId="324" headerRowBorderDxfId="323" tableBorderDxfId="322">
  <autoFilter ref="B735:L781" xr:uid="{8E725589-9F73-498E-A2C1-1A842779A911}"/>
  <tableColumns count="11">
    <tableColumn id="1" xr3:uid="{A60AEBEE-9598-423E-BF64-3E66BCFA657E}" name="CUENTA" dataDxfId="321" totalsRowDxfId="320"/>
    <tableColumn id="2" xr3:uid="{D476C4D1-FBA0-46D7-B116-3BF06B8CC955}" name="FECHA" dataDxfId="319" totalsRowDxfId="318"/>
    <tableColumn id="3" xr3:uid="{DC4773EE-08E0-4EDC-8A95-1543D45CC641}" name="INGRESO" totalsRowFunction="sum" dataDxfId="317" totalsRowDxfId="316"/>
    <tableColumn id="4" xr3:uid="{357B37E3-AE15-4A9D-9B55-D57F7BD67901}" name="EGRESO" totalsRowFunction="sum" dataDxfId="315" totalsRowDxfId="314"/>
    <tableColumn id="5" xr3:uid="{00585EE4-6908-4CE7-B615-C942B9F8B1E9}" name="BENEFICIARIO/PROVEEDOR" dataDxfId="313" totalsRowDxfId="312"/>
    <tableColumn id="6" xr3:uid="{6AD5780C-FC46-41F7-ACE1-969CBDED3D8E}" name="NO. FACTURA" dataDxfId="311" totalsRowDxfId="310"/>
    <tableColumn id="7" xr3:uid="{38C6537C-91FD-4249-A519-5D12F6769BDF}" name="NO. PROYECTO" dataDxfId="309" totalsRowDxfId="308"/>
    <tableColumn id="8" xr3:uid="{33AAFE8A-EC89-4AD1-BB4E-A74B0983A0F6}" name="DESCRIPCION" dataDxfId="307" totalsRowDxfId="306"/>
    <tableColumn id="9" xr3:uid="{E226AE5C-FCAB-4451-A484-DCCCA90A1206}" name="CATEGORÍA" dataDxfId="305" totalsRowDxfId="304"/>
    <tableColumn id="10" xr3:uid="{E35E2727-AF7A-4BA8-ABF0-93B15CF7A6BE}" name="SUB CATEGORIA" dataDxfId="303" totalsRowDxfId="302"/>
    <tableColumn id="11" xr3:uid="{157ED0CC-DA5B-402D-A29E-A4B17C3C4012}" name="EQUILIBRAR" dataDxfId="301" totalsRowDxfId="300">
      <calculatedColumnFormula>IF(ISERROR(OFFSET(L736,-1,0,1,1)+D736-E736),D736-E736,OFFSET(L736,-1,0,1,1)+D736-E736)</calculatedColumnFormula>
    </tableColumn>
  </tableColumns>
  <tableStyleInfo name="TableStyleMedium9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8F1A97-8210-44A7-BE51-78DD9273E065}" name="MarEst2024" displayName="MarEst2024" ref="B153:L202" totalsRowCount="1" headerRowDxfId="299" headerRowBorderDxfId="298" tableBorderDxfId="297">
  <autoFilter ref="B153:L201" xr:uid="{958F1A97-8210-44A7-BE51-78DD9273E065}"/>
  <tableColumns count="11">
    <tableColumn id="1" xr3:uid="{8BA556E7-6CA3-4E50-BA9B-4FA2F3B9AF7F}" name="CUENTA" dataDxfId="296" totalsRowDxfId="295"/>
    <tableColumn id="2" xr3:uid="{7F400750-AAB5-4FD5-9182-0C544DC7C9AC}" name="FECHA" dataDxfId="294" totalsRowDxfId="293"/>
    <tableColumn id="3" xr3:uid="{F1478642-CA56-4797-9D22-180ED9006599}" name="INGRESO" totalsRowFunction="sum" dataDxfId="292" totalsRowDxfId="291"/>
    <tableColumn id="4" xr3:uid="{8AB65F8C-8B9A-4CE6-96FC-E4AADB44E78C}" name="EGRESO" totalsRowFunction="sum" dataDxfId="290" totalsRowDxfId="289"/>
    <tableColumn id="5" xr3:uid="{A7FFC12C-8E8F-4705-80C4-1531052808DE}" name="BENEFICIARIO/PROVEEDOR" dataDxfId="288" totalsRowDxfId="287"/>
    <tableColumn id="6" xr3:uid="{7862D741-20E7-4387-8048-AA3FEB52CFF3}" name="NO. FACTURA" dataDxfId="286" totalsRowDxfId="285"/>
    <tableColumn id="7" xr3:uid="{6530D925-F9FA-47EA-8D6C-6660A5ACA83D}" name="NO. PROYECTO" dataDxfId="284" totalsRowDxfId="283"/>
    <tableColumn id="8" xr3:uid="{35318583-64C2-4790-A162-D6743664C105}" name="DESCRIPCION" dataDxfId="282" totalsRowDxfId="281"/>
    <tableColumn id="9" xr3:uid="{BFF6DBA4-C870-413E-90F4-D41EFD1424C5}" name="CATEGORÍA" dataDxfId="280" totalsRowDxfId="279"/>
    <tableColumn id="10" xr3:uid="{D4680459-FC3B-4BD2-AE43-89DBEF0C6F07}" name="SUB CATEGORIA" dataDxfId="278" totalsRowDxfId="277"/>
    <tableColumn id="11" xr3:uid="{483A9CEE-93F9-482A-B156-6B48D821251E}" name="EQUILIBRAR" dataDxfId="276" totalsRowDxfId="275">
      <calculatedColumnFormula>IF(ISERROR(OFFSET(L154,-1,0,1,1)+D154-E154),D154-E154,OFFSET(L154,-1,0,1,1)+D154-E154)</calculatedColumnFormula>
    </tableColumn>
  </tableColumns>
  <tableStyleInfo name="TableStyleMedium9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2FF43F-812F-49E7-B3D8-2DCE02368C77}" name="EneEst2024" displayName="EneEst2024" ref="B77:L112" totalsRowCount="1" headerRowDxfId="274" headerRowBorderDxfId="273" tableBorderDxfId="272">
  <autoFilter ref="B77:L111" xr:uid="{252FF43F-812F-49E7-B3D8-2DCE02368C77}"/>
  <tableColumns count="11">
    <tableColumn id="1" xr3:uid="{833BFF09-6FD2-41EC-A9B2-E1CC09803081}" name="CUENTA" dataDxfId="271" totalsRowDxfId="270"/>
    <tableColumn id="2" xr3:uid="{DE6D1559-CBF7-4031-A057-CDD7166911CE}" name="FECHA" dataDxfId="269" totalsRowDxfId="268"/>
    <tableColumn id="3" xr3:uid="{662FAA53-3DA6-4ED2-B891-B26F3CBDF02B}" name="INGRESO" totalsRowFunction="sum" dataDxfId="267" totalsRowDxfId="266"/>
    <tableColumn id="4" xr3:uid="{57702332-04D3-4D83-BFDD-E829A54FD95C}" name="EGRESO" totalsRowFunction="sum" dataDxfId="265" totalsRowDxfId="264"/>
    <tableColumn id="5" xr3:uid="{1FE59761-03B9-4C33-A86C-E0BC26E017F1}" name="BENEFICIARIO/PROVEEDOR" dataDxfId="263" totalsRowDxfId="262"/>
    <tableColumn id="6" xr3:uid="{BB851169-6768-4D9E-BA38-D4BDCB0B70D8}" name="NO. FACTURA" dataDxfId="261" totalsRowDxfId="260"/>
    <tableColumn id="7" xr3:uid="{962E121F-E26B-40D8-8626-BE8080A4C671}" name="NO. PROYECTO" dataDxfId="259" totalsRowDxfId="258"/>
    <tableColumn id="8" xr3:uid="{FB70B5B7-4636-4754-9556-C303D6113716}" name="DESCRIPCION" dataDxfId="257" totalsRowDxfId="256"/>
    <tableColumn id="9" xr3:uid="{28DCA4B4-A61F-41B9-BC4F-95995338285C}" name="CATEGORÍA" dataDxfId="255" totalsRowDxfId="254"/>
    <tableColumn id="10" xr3:uid="{1C6B596B-FEF2-4838-8BF9-EB42EBE0DB09}" name="SUB CATEGORIA" dataDxfId="253" totalsRowDxfId="252"/>
    <tableColumn id="11" xr3:uid="{D68EBFDA-C9FE-4FB1-9BD1-9086A798BE02}" name="EQUILIBRAR" dataDxfId="251" totalsRowDxfId="250">
      <calculatedColumnFormula>IF(ISERROR(OFFSET(L78,-1,0,1,1)+D78-E78),D78-E78,OFFSET(L78,-1,0,1,1)+D78-E78)</calculatedColumnFormula>
    </tableColumn>
  </tableColumns>
  <tableStyleInfo name="TableStyleMedium9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C4887FA-211C-48CA-8D7E-D825B07DC3A7}" name="FebEst2024" displayName="FebEst2024" ref="B115:L150" totalsRowCount="1" headerRowDxfId="249" headerRowBorderDxfId="248" tableBorderDxfId="247">
  <autoFilter ref="B115:L149" xr:uid="{5C4887FA-211C-48CA-8D7E-D825B07DC3A7}"/>
  <tableColumns count="11">
    <tableColumn id="1" xr3:uid="{2163D335-A3CA-403D-80C9-AF50CEFFF07F}" name="CUENTA" dataDxfId="246" totalsRowDxfId="245"/>
    <tableColumn id="2" xr3:uid="{6CFE0029-1826-4F30-8A5C-34DF7883C22C}" name="FECHA" dataDxfId="244" totalsRowDxfId="243"/>
    <tableColumn id="3" xr3:uid="{B3FCFD74-0442-44BC-8380-BA9662D056EC}" name="INGRESO" totalsRowFunction="sum" dataDxfId="242" totalsRowDxfId="241"/>
    <tableColumn id="4" xr3:uid="{9EAAEF1F-F3CC-4623-A9FD-E933264BBFA3}" name="EGRESO" totalsRowFunction="sum" dataDxfId="240" totalsRowDxfId="239"/>
    <tableColumn id="5" xr3:uid="{A261CD1F-334C-43CE-ADC0-AB421EA9BED4}" name="BENEFICIARIO/PROVEEDOR" dataDxfId="238" totalsRowDxfId="237"/>
    <tableColumn id="6" xr3:uid="{8A0DFD0E-2909-4AF9-8AB6-1BA7334B03AF}" name="NO. FACTURA" dataDxfId="236" totalsRowDxfId="235"/>
    <tableColumn id="7" xr3:uid="{AC00B512-2AE9-4334-8B04-0CCC6C767E98}" name="NO. PROYECTO" dataDxfId="234" totalsRowDxfId="233"/>
    <tableColumn id="8" xr3:uid="{06AF0C63-E68D-4C90-BA0F-75FF64D7E38F}" name="DESCRIPCION" dataDxfId="232" totalsRowDxfId="231"/>
    <tableColumn id="9" xr3:uid="{C9049A96-6528-4B26-AB12-7C83FEAAD862}" name="CATEGORÍA" dataDxfId="230" totalsRowDxfId="229"/>
    <tableColumn id="10" xr3:uid="{9C3A63AD-10FC-45D1-831C-A716641923B9}" name="SUB CATEGORIA" dataDxfId="228" totalsRowDxfId="227"/>
    <tableColumn id="11" xr3:uid="{BF5B096E-D2C3-4478-AA34-2CDF3F4A6AB3}" name="EQUILIBRAR" dataDxfId="226" totalsRowDxfId="225">
      <calculatedColumnFormula>IF(ISERROR(OFFSET(L116,-1,0,1,1)+D116-E116),D116-E116,OFFSET(L116,-1,0,1,1)+D116-E116)</calculatedColumnFormula>
    </tableColumn>
  </tableColumns>
  <tableStyleInfo name="TableStyleMedium9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8A3FCC2-B30C-4279-9A15-5A8816CE0CD6}" name="AbrEst2024" displayName="AbrEst2024" ref="B205:L244" totalsRowCount="1" headerRowDxfId="224" headerRowBorderDxfId="223" tableBorderDxfId="222">
  <autoFilter ref="B205:L243" xr:uid="{F8A3FCC2-B30C-4279-9A15-5A8816CE0CD6}"/>
  <tableColumns count="11">
    <tableColumn id="1" xr3:uid="{CA44C3DA-D447-4E17-A118-D49B31C9C74F}" name="CUENTA" dataDxfId="221" totalsRowDxfId="220"/>
    <tableColumn id="2" xr3:uid="{9621653F-092F-4B94-8928-E58091857E03}" name="FECHA" dataDxfId="219" totalsRowDxfId="218"/>
    <tableColumn id="3" xr3:uid="{B1920118-2AB2-4B59-9DCE-32C41A9F30C5}" name="INGRESO" totalsRowFunction="sum" dataDxfId="217" totalsRowDxfId="216"/>
    <tableColumn id="4" xr3:uid="{5E536953-A0D2-41F9-8A84-5304DB953813}" name="EGRESO" totalsRowFunction="sum" dataDxfId="215" totalsRowDxfId="214"/>
    <tableColumn id="5" xr3:uid="{C4C74690-8F03-46AF-865A-380DF237A485}" name="BENEFICIARIO/PROVEEDOR" dataDxfId="213" totalsRowDxfId="212"/>
    <tableColumn id="6" xr3:uid="{61C5CD4D-8A0A-44B5-AF2B-C1F05E344B7C}" name="NO. FACTURA" dataDxfId="211" totalsRowDxfId="210"/>
    <tableColumn id="7" xr3:uid="{F068141C-1603-4B69-864D-D0F2AC7988CD}" name="NO. PROYECTO" dataDxfId="209" totalsRowDxfId="208"/>
    <tableColumn id="8" xr3:uid="{5E4A8CA6-DF35-4DF0-B0D9-0D2860C606CF}" name="DESCRIPCION" dataDxfId="207" totalsRowDxfId="206"/>
    <tableColumn id="9" xr3:uid="{6E6AF9F6-11CC-4D89-8FC5-D6E8324D0515}" name="CATEGORÍA" dataDxfId="205" totalsRowDxfId="204"/>
    <tableColumn id="10" xr3:uid="{A339540D-1E5B-47D2-99A5-BB338C781E53}" name="SUB CATEGORIA" dataDxfId="203" totalsRowDxfId="202"/>
    <tableColumn id="11" xr3:uid="{DC98DC05-22AE-4D10-95EB-391F2F74F902}" name="EQUILIBRAR" dataDxfId="201" totalsRowDxfId="200">
      <calculatedColumnFormula>IF(ISERROR(OFFSET(L206,-1,0,1,1)+D206-E206),D206-E206,OFFSET(L206,-1,0,1,1)+D206-E206)</calculatedColumnFormula>
    </tableColumn>
  </tableColumns>
  <tableStyleInfo name="TableStyleMedium9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E206C2F-BCD6-4BB1-B7DC-D29D3CFD1216}" name="MayEst_2024" displayName="MayEst_2024" ref="B247:L286" totalsRowCount="1" headerRowDxfId="199" headerRowBorderDxfId="198" tableBorderDxfId="197">
  <autoFilter ref="B247:L285" xr:uid="{6E206C2F-BCD6-4BB1-B7DC-D29D3CFD1216}"/>
  <tableColumns count="11">
    <tableColumn id="1" xr3:uid="{077343DA-61DD-42F7-AD57-6B1CB9B019AF}" name="CUENTA" dataDxfId="196" totalsRowDxfId="195"/>
    <tableColumn id="2" xr3:uid="{ACF90BD9-7CFA-442C-8E61-37E31E9398DE}" name="FECHA" dataDxfId="194" totalsRowDxfId="193"/>
    <tableColumn id="3" xr3:uid="{4D5A54E6-3DEE-4882-BE86-BD4A8591DBC7}" name="INGRESO" totalsRowFunction="sum" dataDxfId="192" totalsRowDxfId="191"/>
    <tableColumn id="4" xr3:uid="{5B9AC2DD-EFB9-48F9-B33E-589D93DAE687}" name="EGRESO" totalsRowFunction="sum" dataDxfId="190" totalsRowDxfId="189"/>
    <tableColumn id="5" xr3:uid="{2E751851-AC40-465F-9E8B-16CD7046B19D}" name="BENEFICIARIO/PROVEEDOR" dataDxfId="188" totalsRowDxfId="187"/>
    <tableColumn id="6" xr3:uid="{DF8EF3AD-9582-486E-9773-265FC8EDE523}" name="NO. FACTURA" dataDxfId="186" totalsRowDxfId="185"/>
    <tableColumn id="7" xr3:uid="{6326B35E-D691-4F27-B589-02FBFAE129AC}" name="NO. PROYECTO" dataDxfId="184" totalsRowDxfId="183"/>
    <tableColumn id="8" xr3:uid="{913338EA-EBCB-4A24-89A7-07196B563B34}" name="DESCRIPCION" dataDxfId="182" totalsRowDxfId="181"/>
    <tableColumn id="9" xr3:uid="{4C459CA6-ADAF-4DBF-8A8B-273486D2F0F8}" name="CATEGORÍA" dataDxfId="180" totalsRowDxfId="179"/>
    <tableColumn id="10" xr3:uid="{4E83CEFC-A6AD-407A-B59E-A504D500C4E7}" name="SUB CATEGORIA" dataDxfId="178" totalsRowDxfId="177"/>
    <tableColumn id="11" xr3:uid="{C32A6CDA-52EE-4453-8C57-08A5234E7BDD}" name="EQUILIBRAR" dataDxfId="176" totalsRowDxfId="175">
      <calculatedColumnFormula>IF(ISERROR(OFFSET(L248,-1,0,1,1)+D248-E248),D248-E248,OFFSET(L248,-1,0,1,1)+D248-E248)</calculatedColumnFormula>
    </tableColumn>
  </tableColumns>
  <tableStyleInfo name="TableStyleMedium9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B02682E-5A2A-440F-9D16-340933F6A5C3}" name="JunEst_2024" displayName="JunEst_2024" ref="B289:L338" totalsRowCount="1" headerRowDxfId="174" headerRowBorderDxfId="173" tableBorderDxfId="172">
  <autoFilter ref="B289:L337" xr:uid="{BB02682E-5A2A-440F-9D16-340933F6A5C3}"/>
  <tableColumns count="11">
    <tableColumn id="1" xr3:uid="{A38C0008-B11A-4CD9-A3B8-22FBF80C8FED}" name="CUENTA" dataDxfId="171" totalsRowDxfId="170"/>
    <tableColumn id="2" xr3:uid="{1646C946-F2DA-47B8-9903-3A8A530F1B70}" name="FECHA" dataDxfId="169" totalsRowDxfId="168"/>
    <tableColumn id="3" xr3:uid="{38B09A70-CBAE-4220-ADBA-A7E71CD9A05E}" name="INGRESO" totalsRowFunction="sum" dataDxfId="167" totalsRowDxfId="166"/>
    <tableColumn id="4" xr3:uid="{DEEE9E03-A17F-4743-B042-EE8FC24441BF}" name="EGRESO" totalsRowFunction="sum" dataDxfId="165" totalsRowDxfId="164"/>
    <tableColumn id="5" xr3:uid="{5A3AA637-37CD-4E27-9DD2-E046F4F08776}" name="BENEFICIARIO/PROVEEDOR" dataDxfId="163" totalsRowDxfId="162"/>
    <tableColumn id="6" xr3:uid="{43510B91-ACBA-4DC2-A713-0C0D61AE38E3}" name="NO. FACTURA" dataDxfId="161" totalsRowDxfId="160"/>
    <tableColumn id="7" xr3:uid="{9AAD3F87-B799-4074-8161-1F5417ED58C1}" name="NO. PROYECTO" dataDxfId="159" totalsRowDxfId="158"/>
    <tableColumn id="8" xr3:uid="{D946B02B-F81B-4BCD-AB53-5DE6D455B3C0}" name="DESCRIPCION" dataDxfId="157" totalsRowDxfId="156"/>
    <tableColumn id="9" xr3:uid="{A5D0D3F8-F0E1-42F7-AF71-885025A17227}" name="CATEGORÍA" dataDxfId="155" totalsRowDxfId="154"/>
    <tableColumn id="10" xr3:uid="{C21ADA68-F309-4A07-9B68-E1D2E5ED2A00}" name="SUB CATEGORIA" dataDxfId="153" totalsRowDxfId="152"/>
    <tableColumn id="11" xr3:uid="{15395C95-64DE-4944-9191-0462364192AF}" name="EQUILIBRAR" dataDxfId="151" totalsRowDxfId="150">
      <calculatedColumnFormula>IF(ISERROR(OFFSET(L290,-1,0,1,1)+D290-E290),D290-E290,OFFSET(L290,-1,0,1,1)+D290-E290)</calculatedColumnFormula>
    </tableColumn>
  </tableColumns>
  <tableStyleInfo name="TableStyleMedium9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CD52ED8-391D-4472-93AD-27F26A7DDEDF}" name="JulEst_2024" displayName="JulEst_2024" ref="B341:L380" totalsRowCount="1" headerRowDxfId="149" headerRowBorderDxfId="148" tableBorderDxfId="147">
  <autoFilter ref="B341:L379" xr:uid="{1CD52ED8-391D-4472-93AD-27F26A7DDEDF}"/>
  <tableColumns count="11">
    <tableColumn id="1" xr3:uid="{3FB98960-A04F-4515-8F6C-A360EB4C2B19}" name="CUENTA" dataDxfId="146" totalsRowDxfId="145"/>
    <tableColumn id="2" xr3:uid="{E5B5B7C4-332D-48E1-8130-7C068DC75E03}" name="FECHA" dataDxfId="144" totalsRowDxfId="143"/>
    <tableColumn id="3" xr3:uid="{0F1262B6-4321-43A2-BA87-FD0C4475D243}" name="INGRESO" totalsRowFunction="sum" dataDxfId="142" totalsRowDxfId="141"/>
    <tableColumn id="4" xr3:uid="{659F718F-4FAE-46BB-9781-841C270B17DF}" name="EGRESO" totalsRowFunction="sum" dataDxfId="140" totalsRowDxfId="139"/>
    <tableColumn id="5" xr3:uid="{F22210E9-2C71-4C84-ADA0-0969EFD14B83}" name="BENEFICIARIO/PROVEEDOR" dataDxfId="138" totalsRowDxfId="137"/>
    <tableColumn id="6" xr3:uid="{222C5557-1B85-43C2-88DB-E9E83773030E}" name="NO. FACTURA" dataDxfId="136" totalsRowDxfId="135"/>
    <tableColumn id="7" xr3:uid="{E8AB4260-A8BE-413E-BBAD-8AD3C2450551}" name="NO. PROYECTO" dataDxfId="134" totalsRowDxfId="133"/>
    <tableColumn id="8" xr3:uid="{E92C5CA5-9DD7-4AC5-A829-8CDF23F80CCA}" name="DESCRIPCION" dataDxfId="132" totalsRowDxfId="131"/>
    <tableColumn id="9" xr3:uid="{4B959AB6-207F-4F02-8CD9-010C13865C5D}" name="CATEGORÍA" dataDxfId="130" totalsRowDxfId="129"/>
    <tableColumn id="10" xr3:uid="{CD866AA8-1689-4617-85D9-4EC8CA007B2A}" name="SUB CATEGORIA" dataDxfId="128" totalsRowDxfId="127"/>
    <tableColumn id="11" xr3:uid="{D4A6B00E-502B-4A85-BE26-1626DA5C4DBD}" name="EQUILIBRAR" dataDxfId="126" totalsRowDxfId="125">
      <calculatedColumnFormula>IF(ISERROR(OFFSET(L342,-1,0,1,1)+D342-E342),D342-E342,OFFSET(L342,-1,0,1,1)+D342-E342)</calculatedColumnFormula>
    </tableColumn>
  </tableColumns>
  <tableStyleInfo name="TableStyleMedium9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8C31357-1868-4BA6-8000-719E1FAD6A2B}" name="AgoEst_2024" displayName="AgoEst_2024" ref="B383:L430" totalsRowCount="1" headerRowDxfId="124" headerRowBorderDxfId="123" tableBorderDxfId="122">
  <autoFilter ref="B383:L429" xr:uid="{28C31357-1868-4BA6-8000-719E1FAD6A2B}"/>
  <tableColumns count="11">
    <tableColumn id="1" xr3:uid="{5CB7255D-764A-4F90-93CF-B73FC57A4775}" name="CUENTA" dataDxfId="121" totalsRowDxfId="120"/>
    <tableColumn id="2" xr3:uid="{2B5129DB-8A01-4A77-A1D5-B67480835F63}" name="FECHA" dataDxfId="119" totalsRowDxfId="118"/>
    <tableColumn id="3" xr3:uid="{12CCF254-F67A-495C-81CC-28D45E8CE3B6}" name="INGRESO" totalsRowFunction="sum" dataDxfId="117" totalsRowDxfId="116"/>
    <tableColumn id="4" xr3:uid="{6C6A1925-2216-43E6-BE68-04920AD2C9BD}" name="EGRESO" totalsRowFunction="sum" dataDxfId="115" totalsRowDxfId="114"/>
    <tableColumn id="5" xr3:uid="{A5F98219-C076-4DF3-BA24-27B823723B2E}" name="BENEFICIARIO/PROVEEDOR" dataDxfId="113" totalsRowDxfId="112"/>
    <tableColumn id="6" xr3:uid="{0BD2A0AD-20F1-4F65-B31F-42D3C790B7B5}" name="NO. FACTURA" dataDxfId="111" totalsRowDxfId="110"/>
    <tableColumn id="7" xr3:uid="{761254E9-18FE-4203-BF89-288C6C743E0F}" name="NO. PROYECTO" dataDxfId="109" totalsRowDxfId="108"/>
    <tableColumn id="8" xr3:uid="{45BA4984-7742-4778-B60B-80530890759C}" name="DESCRIPCION" dataDxfId="107" totalsRowDxfId="106"/>
    <tableColumn id="9" xr3:uid="{46176C7D-F533-4856-BDDE-F4C1FD7A9EB7}" name="CATEGORÍA" dataDxfId="105" totalsRowDxfId="104"/>
    <tableColumn id="10" xr3:uid="{91968408-3AC0-4ABD-8B61-89D99AAB33FC}" name="SUB CATEGORIA" dataDxfId="103" totalsRowDxfId="102"/>
    <tableColumn id="11" xr3:uid="{61D38A51-6705-4B35-B50A-2DE3B8D45A2D}" name="EQUILIBRAR" dataDxfId="101" totalsRowDxfId="100">
      <calculatedColumnFormula>IF(ISERROR(OFFSET(L384,-1,0,1,1)+D384-E384),D384-E384,OFFSET(L384,-1,0,1,1)+D384-E384)</calculatedColumnFormula>
    </tableColumn>
  </tableColumns>
  <tableStyleInfo name="TableStyleMedium9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D1B459D-846D-4F0E-A5E4-D9074100EA22}" name="SepEst_2024" displayName="SepEst_2024" ref="B433:L474" totalsRowCount="1" headerRowDxfId="99" headerRowBorderDxfId="98" tableBorderDxfId="97">
  <autoFilter ref="B433:L473" xr:uid="{DD1B459D-846D-4F0E-A5E4-D9074100EA22}"/>
  <tableColumns count="11">
    <tableColumn id="1" xr3:uid="{945774F2-4D8A-4C74-A354-F419C580B4B0}" name="CUENTA" dataDxfId="96" totalsRowDxfId="95"/>
    <tableColumn id="2" xr3:uid="{BAA3FB74-52AE-4C50-82F0-1AE5D3917570}" name="FECHA" dataDxfId="94" totalsRowDxfId="93"/>
    <tableColumn id="3" xr3:uid="{B37F1870-F0AC-409E-BC4E-1E9D3E890C31}" name="INGRESO" totalsRowFunction="sum" dataDxfId="92" totalsRowDxfId="91"/>
    <tableColumn id="4" xr3:uid="{9F97E53D-C7C4-4C57-9005-0CF2F6B41B24}" name="EGRESO" totalsRowFunction="sum" dataDxfId="90" totalsRowDxfId="89"/>
    <tableColumn id="5" xr3:uid="{B0E46E6E-5988-4DC8-8BF0-79D8A12D2AFC}" name="BENEFICIARIO/PROVEEDOR" dataDxfId="88" totalsRowDxfId="87"/>
    <tableColumn id="6" xr3:uid="{3D8EEADF-81DA-472B-B75A-48ECF1BD39FA}" name="NO. FACTURA" dataDxfId="86" totalsRowDxfId="85"/>
    <tableColumn id="7" xr3:uid="{E8687854-4ED2-4D43-B51F-21FC20E06625}" name="NO. PROYECTO" dataDxfId="84" totalsRowDxfId="83"/>
    <tableColumn id="8" xr3:uid="{EC7D8897-7308-4688-BE93-5BAF5DE9AB54}" name="DESCRIPCION" dataDxfId="82" totalsRowDxfId="81"/>
    <tableColumn id="9" xr3:uid="{87986DB1-89C8-485D-BE3E-4F86C5387423}" name="CATEGORÍA" dataDxfId="80" totalsRowDxfId="79"/>
    <tableColumn id="10" xr3:uid="{3D9BBAEF-D2B4-4DF0-8E15-25AE262B2C6F}" name="SUB CATEGORIA" dataDxfId="78" totalsRowDxfId="77"/>
    <tableColumn id="11" xr3:uid="{8652EDCE-9A51-4E68-A462-380CE609E48D}" name="EQUILIBRAR" dataDxfId="76" totalsRowDxfId="75">
      <calculatedColumnFormula>IF(ISERROR(OFFSET(L434,-1,0,1,1)+D434-E434),D434-E434,OFFSET(L434,-1,0,1,1)+D434-E434)</calculatedColumnFormula>
    </tableColumn>
  </tableColumns>
  <tableStyleInfo name="TableStyleMedium9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6C32C4B-20AE-43B1-80CC-6CF28EB5E7B9}" name="OctEst_2024" displayName="OctEst_2024" ref="B477:L516" totalsRowCount="1" headerRowDxfId="74" headerRowBorderDxfId="73" tableBorderDxfId="72">
  <autoFilter ref="B477:L515" xr:uid="{86C32C4B-20AE-43B1-80CC-6CF28EB5E7B9}"/>
  <tableColumns count="11">
    <tableColumn id="1" xr3:uid="{A7FFE065-9FD6-4423-9F42-D311032893F5}" name="CUENTA" dataDxfId="71" totalsRowDxfId="70"/>
    <tableColumn id="2" xr3:uid="{DD0ACB7F-78EF-4071-B060-10EB17D04E98}" name="FECHA" dataDxfId="69" totalsRowDxfId="68"/>
    <tableColumn id="3" xr3:uid="{39F8E95B-6FDB-46FA-BE41-E06469021EB8}" name="INGRESO" totalsRowFunction="sum" dataDxfId="67" totalsRowDxfId="66"/>
    <tableColumn id="4" xr3:uid="{7473B4CD-6B44-4F40-BE44-F84A603DD691}" name="EGRESO" totalsRowFunction="sum" dataDxfId="65" totalsRowDxfId="64"/>
    <tableColumn id="5" xr3:uid="{2F430778-215F-4B6F-8A79-3CE69A7AD3A6}" name="BENEFICIARIO/PROVEEDOR" dataDxfId="63" totalsRowDxfId="62"/>
    <tableColumn id="6" xr3:uid="{3007A844-F8B4-46DC-A60D-190BADF349ED}" name="NO. FACTURA" dataDxfId="61" totalsRowDxfId="60"/>
    <tableColumn id="7" xr3:uid="{2817DA97-307F-4C49-9E56-C9C3146C7390}" name="NO. PROYECTO" dataDxfId="59" totalsRowDxfId="58"/>
    <tableColumn id="8" xr3:uid="{6C0EB9E5-B9C2-4FBF-80CA-8FADB6E15606}" name="DESCRIPCION" dataDxfId="57" totalsRowDxfId="56"/>
    <tableColumn id="9" xr3:uid="{0FF30496-2B5F-45DE-A1C4-7784D6D3E652}" name="CATEGORÍA" dataDxfId="55" totalsRowDxfId="54"/>
    <tableColumn id="10" xr3:uid="{1453CA81-1355-48CC-9574-3759F7E145C7}" name="SUB CATEGORIA" dataDxfId="53" totalsRowDxfId="52"/>
    <tableColumn id="11" xr3:uid="{9056B2CE-FD24-4B2F-97A5-23D972CC78FC}" name="EQUILIBRAR" dataDxfId="51" totalsRowDxfId="50">
      <calculatedColumnFormula>IF(ISERROR(OFFSET(L478,-1,0,1,1)+D478-E478),D478-E478,OFFSET(L478,-1,0,1,1)+D478-E478)</calculatedColumnFormula>
    </tableColumn>
  </tableColumns>
  <tableStyleInfo name="TableStyleMedium9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E8D7F57-4F35-4AEB-82DF-6C3E0C05712A}" name="NovEst_2024" displayName="NovEst_2024" ref="B519:L566" totalsRowCount="1" headerRowDxfId="49" headerRowBorderDxfId="48" tableBorderDxfId="47">
  <autoFilter ref="B519:L565" xr:uid="{2E8D7F57-4F35-4AEB-82DF-6C3E0C05712A}"/>
  <tableColumns count="11">
    <tableColumn id="1" xr3:uid="{32F10B5E-4D6B-49F0-8B65-AD7EFB4E28E3}" name="CUENTA" dataDxfId="46" totalsRowDxfId="45"/>
    <tableColumn id="2" xr3:uid="{20E4E08F-5584-4363-8F34-8A009D100FCC}" name="FECHA" dataDxfId="44" totalsRowDxfId="43"/>
    <tableColumn id="3" xr3:uid="{22A15DA3-78DF-46D4-B9CE-5313E668F552}" name="INGRESO" totalsRowFunction="sum" dataDxfId="42" totalsRowDxfId="41"/>
    <tableColumn id="4" xr3:uid="{4FC54176-A70E-4325-AAD1-C71ACDE7ABE2}" name="EGRESO" totalsRowFunction="sum" dataDxfId="40" totalsRowDxfId="39"/>
    <tableColumn id="5" xr3:uid="{BD9E30FC-CBA6-4A9C-B689-62D62064C2C1}" name="BENEFICIARIO/PROVEEDOR" dataDxfId="38" totalsRowDxfId="37"/>
    <tableColumn id="6" xr3:uid="{7D9BF75F-221C-46FF-878C-764EE10B94A7}" name="NO. FACTURA" dataDxfId="36" totalsRowDxfId="35"/>
    <tableColumn id="7" xr3:uid="{7E96FBFF-85B4-46CC-B88F-8A488B57DD3B}" name="NO. PROYECTO" dataDxfId="34" totalsRowDxfId="33"/>
    <tableColumn id="8" xr3:uid="{0606E808-8CEB-41F7-9D76-0101D977152A}" name="DESCRIPCION" dataDxfId="32" totalsRowDxfId="31"/>
    <tableColumn id="9" xr3:uid="{946F7224-A97D-4AA2-819A-A305EF2DB98A}" name="CATEGORÍA" dataDxfId="30" totalsRowDxfId="29"/>
    <tableColumn id="10" xr3:uid="{EAB38039-A3CC-4A0D-BA31-6CA2E6833456}" name="SUB CATEGORIA" dataDxfId="28" totalsRowDxfId="27"/>
    <tableColumn id="11" xr3:uid="{E715AEFF-1CDD-42B5-99A6-F17827FA7585}" name="EQUILIBRAR" dataDxfId="26" totalsRowDxfId="25">
      <calculatedColumnFormula>IF(ISERROR(OFFSET(L520,-1,0,1,1)+D520-E520),D520-E520,OFFSET(L520,-1,0,1,1)+D520-E520)</calculatedColumnFormula>
    </tableColumn>
  </tableColumns>
  <tableStyleInfo name="TableStyleMedium9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C410B1B-B301-4A6C-B5ED-5924DCF16516}" name="DicEst_2024" displayName="DicEst_2024" ref="B569:L615" totalsRowCount="1" headerRowDxfId="24" headerRowBorderDxfId="23" tableBorderDxfId="22">
  <autoFilter ref="B569:L614" xr:uid="{9C410B1B-B301-4A6C-B5ED-5924DCF16516}"/>
  <tableColumns count="11">
    <tableColumn id="1" xr3:uid="{9BDAB7D8-3399-45C3-B74E-092F5E35D2E5}" name="CUENTA" dataDxfId="21" totalsRowDxfId="20"/>
    <tableColumn id="2" xr3:uid="{8CD1082E-1949-4A76-A9EC-C2D46DA4B237}" name="FECHA" dataDxfId="19" totalsRowDxfId="18"/>
    <tableColumn id="3" xr3:uid="{35BE767C-B1CB-4190-832C-DE864A806FD9}" name="INGRESO" totalsRowFunction="sum" dataDxfId="17" totalsRowDxfId="16"/>
    <tableColumn id="4" xr3:uid="{471E81EC-C3CD-46E0-8FD0-C5F7B8D73836}" name="EGRESO" totalsRowFunction="sum" dataDxfId="15" totalsRowDxfId="14"/>
    <tableColumn id="5" xr3:uid="{B48C0558-D339-45B5-8DB3-3BA14BDED2AB}" name="BENEFICIARIO/PROVEEDOR" dataDxfId="13" totalsRowDxfId="12"/>
    <tableColumn id="6" xr3:uid="{02F96274-2ACE-4977-8C3A-DE30DC5E641B}" name="NO. FACTURA" dataDxfId="11" totalsRowDxfId="10"/>
    <tableColumn id="7" xr3:uid="{DD756345-CC22-424A-B552-4C220421E08B}" name="NO. PROYECTO" dataDxfId="9" totalsRowDxfId="8"/>
    <tableColumn id="8" xr3:uid="{14F15990-F8A7-47AF-9A0B-ABF60F09BEB7}" name="DESCRIPCION" dataDxfId="7" totalsRowDxfId="6"/>
    <tableColumn id="9" xr3:uid="{263EB3D7-D7DE-49F5-8AE6-60C17F970F3E}" name="CATEGORÍA" dataDxfId="5" totalsRowDxfId="4"/>
    <tableColumn id="10" xr3:uid="{49FBA290-E6D8-4216-A4FE-58175B901830}" name="SUB CATEGORIA" dataDxfId="3" totalsRowDxfId="2"/>
    <tableColumn id="11" xr3:uid="{38C92E64-F2BB-4D01-B08C-FB17FB85F8B5}" name="EQUILIBRAR" dataDxfId="1" totalsRowDxfId="0">
      <calculatedColumnFormula>IF(ISERROR(OFFSET(L570,-1,0,1,1)+D570-E570),D570-E570,OFFSET(L570,-1,0,1,1)+D570-E570)</calculatedColumnFormula>
    </tableColumn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13" Type="http://schemas.openxmlformats.org/officeDocument/2006/relationships/table" Target="../tables/table24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12" Type="http://schemas.openxmlformats.org/officeDocument/2006/relationships/table" Target="../tables/table23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11" Type="http://schemas.openxmlformats.org/officeDocument/2006/relationships/table" Target="../tables/table22.xml"/><Relationship Id="rId5" Type="http://schemas.openxmlformats.org/officeDocument/2006/relationships/table" Target="../tables/table16.xml"/><Relationship Id="rId10" Type="http://schemas.openxmlformats.org/officeDocument/2006/relationships/table" Target="../tables/table21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  <pageSetUpPr fitToPage="1"/>
  </sheetPr>
  <dimension ref="B1:O129"/>
  <sheetViews>
    <sheetView showGridLines="0" topLeftCell="C1" zoomScale="90" zoomScaleNormal="90" workbookViewId="0">
      <selection activeCell="L15" sqref="L15"/>
    </sheetView>
  </sheetViews>
  <sheetFormatPr defaultColWidth="10.875" defaultRowHeight="13.5" x14ac:dyDescent="0.25"/>
  <cols>
    <col min="1" max="1" width="3.375" style="1" customWidth="1"/>
    <col min="2" max="2" width="39.5" style="1" bestFit="1" customWidth="1"/>
    <col min="3" max="14" width="18.875" style="1" customWidth="1"/>
    <col min="15" max="15" width="15.5" style="1" bestFit="1" customWidth="1"/>
    <col min="16" max="16" width="3.375" style="1" customWidth="1"/>
    <col min="17" max="17" width="10.875" style="1" customWidth="1"/>
    <col min="18" max="16384" width="10.875" style="1"/>
  </cols>
  <sheetData>
    <row r="1" spans="2:15" ht="99.95" customHeight="1" x14ac:dyDescent="0.25">
      <c r="B1" s="58" t="e" vm="1">
        <v>#VALUE!</v>
      </c>
      <c r="C1" s="78" t="s">
        <v>20</v>
      </c>
      <c r="D1" s="78"/>
      <c r="E1" s="78"/>
      <c r="J1"/>
      <c r="L1"/>
    </row>
    <row r="2" spans="2:15" s="3" customFormat="1" ht="24.95" customHeight="1" x14ac:dyDescent="0.25">
      <c r="C2" s="54" t="s">
        <v>0</v>
      </c>
      <c r="D2" s="54" t="s">
        <v>55</v>
      </c>
      <c r="E2" s="54" t="s">
        <v>56</v>
      </c>
      <c r="F2" s="54" t="s">
        <v>57</v>
      </c>
      <c r="G2" s="54" t="s">
        <v>1</v>
      </c>
      <c r="H2" s="54" t="s">
        <v>58</v>
      </c>
      <c r="I2" s="54" t="s">
        <v>59</v>
      </c>
      <c r="J2" s="54" t="s">
        <v>2</v>
      </c>
      <c r="K2" s="54" t="s">
        <v>60</v>
      </c>
      <c r="L2" s="54" t="s">
        <v>61</v>
      </c>
      <c r="M2" s="54" t="s">
        <v>62</v>
      </c>
      <c r="N2" s="54" t="s">
        <v>63</v>
      </c>
      <c r="O2" s="54"/>
    </row>
    <row r="3" spans="2:15" s="3" customFormat="1" ht="24.95" customHeight="1" x14ac:dyDescent="0.25">
      <c r="B3" s="3" t="s">
        <v>3</v>
      </c>
      <c r="C3" s="7">
        <v>0</v>
      </c>
      <c r="D3" s="7">
        <f>C9</f>
        <v>-12371.879523809526</v>
      </c>
      <c r="E3" s="7">
        <f>D9</f>
        <v>-32785.029523809528</v>
      </c>
      <c r="F3" s="7">
        <f t="shared" ref="F3:N3" si="0">E9</f>
        <v>-51579.179523809522</v>
      </c>
      <c r="G3" s="7">
        <f t="shared" si="0"/>
        <v>-50114.179523809522</v>
      </c>
      <c r="H3" s="7">
        <f t="shared" si="0"/>
        <v>-73180.319523809521</v>
      </c>
      <c r="I3" s="7">
        <f t="shared" si="0"/>
        <v>-63676.839523809525</v>
      </c>
      <c r="J3" s="7">
        <f t="shared" si="0"/>
        <v>22632.980476190482</v>
      </c>
      <c r="K3" s="7">
        <f t="shared" si="0"/>
        <v>25447.944276190479</v>
      </c>
      <c r="L3" s="7">
        <f t="shared" si="0"/>
        <v>74622.110942857165</v>
      </c>
      <c r="M3" s="7">
        <f t="shared" si="0"/>
        <v>126673.11094285717</v>
      </c>
      <c r="N3" s="7">
        <f t="shared" si="0"/>
        <v>126673.11094285717</v>
      </c>
      <c r="O3" s="7"/>
    </row>
    <row r="4" spans="2:15" s="3" customFormat="1" ht="24.95" customHeight="1" x14ac:dyDescent="0.25">
      <c r="B4" s="10" t="s">
        <v>4</v>
      </c>
      <c r="C4" s="56">
        <f t="shared" ref="C4:N4" si="1">C24</f>
        <v>22044</v>
      </c>
      <c r="D4" s="56">
        <f t="shared" si="1"/>
        <v>16168</v>
      </c>
      <c r="E4" s="56">
        <f t="shared" si="1"/>
        <v>53520</v>
      </c>
      <c r="F4" s="56">
        <f t="shared" si="1"/>
        <v>32210</v>
      </c>
      <c r="G4" s="56">
        <f t="shared" si="1"/>
        <v>12675</v>
      </c>
      <c r="H4" s="56">
        <f t="shared" si="1"/>
        <v>43615</v>
      </c>
      <c r="I4" s="56">
        <f t="shared" si="1"/>
        <v>132200</v>
      </c>
      <c r="J4" s="56">
        <f t="shared" si="1"/>
        <v>85832.5</v>
      </c>
      <c r="K4" s="56">
        <f t="shared" si="1"/>
        <v>104605</v>
      </c>
      <c r="L4" s="56">
        <f t="shared" si="1"/>
        <v>66120</v>
      </c>
      <c r="M4" s="56">
        <f t="shared" si="1"/>
        <v>0</v>
      </c>
      <c r="N4" s="56">
        <f t="shared" si="1"/>
        <v>0</v>
      </c>
      <c r="O4" s="56">
        <f>SUM(C4:N4)</f>
        <v>568989.5</v>
      </c>
    </row>
    <row r="5" spans="2:15" s="3" customFormat="1" ht="24.95" customHeight="1" x14ac:dyDescent="0.25">
      <c r="B5" s="3" t="s">
        <v>88</v>
      </c>
      <c r="C5" s="8">
        <f>Estimado!C22+C31</f>
        <v>0</v>
      </c>
      <c r="D5" s="8">
        <f>Estimado!D22+D31</f>
        <v>0</v>
      </c>
      <c r="E5" s="8">
        <f>Estimado!E22+E31</f>
        <v>0</v>
      </c>
      <c r="F5" s="8">
        <f>Estimado!F22+F31</f>
        <v>0</v>
      </c>
      <c r="G5" s="8">
        <f>Estimado!G22+G31</f>
        <v>0</v>
      </c>
      <c r="H5" s="8">
        <f>Estimado!H22+H31</f>
        <v>0</v>
      </c>
      <c r="I5" s="8">
        <f>Estimado!I22+I31</f>
        <v>0</v>
      </c>
      <c r="J5" s="8">
        <f>Estimado!J22+J31</f>
        <v>4000</v>
      </c>
      <c r="K5" s="8">
        <f>Estimado!K22+K31</f>
        <v>0</v>
      </c>
      <c r="L5" s="8">
        <f>Estimado!L22+L31</f>
        <v>0</v>
      </c>
      <c r="M5" s="8">
        <f>Estimado!M22+M31</f>
        <v>146610</v>
      </c>
      <c r="N5" s="8">
        <f>Estimado!N22+N31</f>
        <v>0</v>
      </c>
      <c r="O5" s="8">
        <f>SUM(C5:N5)</f>
        <v>150610</v>
      </c>
    </row>
    <row r="6" spans="2:15" s="3" customFormat="1" ht="24.95" customHeight="1" x14ac:dyDescent="0.25">
      <c r="B6" s="10" t="s">
        <v>87</v>
      </c>
      <c r="C6" s="56">
        <f t="shared" ref="C6:N6" si="2">C95</f>
        <v>34415.879523809526</v>
      </c>
      <c r="D6" s="56">
        <f t="shared" si="2"/>
        <v>36581.15</v>
      </c>
      <c r="E6" s="56">
        <f t="shared" si="2"/>
        <v>72314.149999999994</v>
      </c>
      <c r="F6" s="56">
        <f t="shared" si="2"/>
        <v>30745</v>
      </c>
      <c r="G6" s="56">
        <f t="shared" si="2"/>
        <v>35741.14</v>
      </c>
      <c r="H6" s="56">
        <f t="shared" si="2"/>
        <v>34111.520000000004</v>
      </c>
      <c r="I6" s="56">
        <f t="shared" si="2"/>
        <v>45890.18</v>
      </c>
      <c r="J6" s="56">
        <f t="shared" si="2"/>
        <v>83017.536200000002</v>
      </c>
      <c r="K6" s="56">
        <f t="shared" si="2"/>
        <v>55430.833333333314</v>
      </c>
      <c r="L6" s="56">
        <f t="shared" si="2"/>
        <v>14069</v>
      </c>
      <c r="M6" s="56">
        <f t="shared" si="2"/>
        <v>0</v>
      </c>
      <c r="N6" s="56">
        <f t="shared" si="2"/>
        <v>0</v>
      </c>
      <c r="O6" s="56">
        <f>SUM(C6:N6)</f>
        <v>442316.38905714283</v>
      </c>
    </row>
    <row r="7" spans="2:15" s="3" customFormat="1" ht="24.95" customHeight="1" x14ac:dyDescent="0.25">
      <c r="B7" s="3" t="s">
        <v>89</v>
      </c>
      <c r="C7" s="8">
        <f>Estimado!C74</f>
        <v>0</v>
      </c>
      <c r="D7" s="8">
        <f>Estimado!D74</f>
        <v>0</v>
      </c>
      <c r="E7" s="8">
        <f>Estimado!E74</f>
        <v>0</v>
      </c>
      <c r="F7" s="8">
        <f>Estimado!F74</f>
        <v>0</v>
      </c>
      <c r="G7" s="8">
        <f>Estimado!G74</f>
        <v>0</v>
      </c>
      <c r="H7" s="8">
        <f>Estimado!H74</f>
        <v>0</v>
      </c>
      <c r="I7" s="8">
        <f>Estimado!I74</f>
        <v>0</v>
      </c>
      <c r="J7" s="8">
        <f>Estimado!J74</f>
        <v>0</v>
      </c>
      <c r="K7" s="8">
        <f>Estimado!K74</f>
        <v>0</v>
      </c>
      <c r="L7" s="8">
        <f>Estimado!L74</f>
        <v>0</v>
      </c>
      <c r="M7" s="8">
        <f>Estimado!M74</f>
        <v>0</v>
      </c>
      <c r="N7" s="8">
        <f>Estimado!N74</f>
        <v>0</v>
      </c>
      <c r="O7" s="8">
        <f>SUM(C7:N7)</f>
        <v>0</v>
      </c>
    </row>
    <row r="8" spans="2:15" s="3" customFormat="1" ht="24.95" customHeight="1" x14ac:dyDescent="0.25">
      <c r="B8" s="10" t="s">
        <v>5</v>
      </c>
      <c r="C8" s="56">
        <f>C4-C6</f>
        <v>-12371.879523809526</v>
      </c>
      <c r="D8" s="56">
        <f t="shared" ref="D8:N8" si="3">D4-D6</f>
        <v>-20413.150000000001</v>
      </c>
      <c r="E8" s="56">
        <f t="shared" si="3"/>
        <v>-18794.149999999994</v>
      </c>
      <c r="F8" s="56">
        <f t="shared" si="3"/>
        <v>1465</v>
      </c>
      <c r="G8" s="56">
        <f t="shared" si="3"/>
        <v>-23066.14</v>
      </c>
      <c r="H8" s="56">
        <f>H4-H6</f>
        <v>9503.4799999999959</v>
      </c>
      <c r="I8" s="56">
        <f t="shared" si="3"/>
        <v>86309.82</v>
      </c>
      <c r="J8" s="56">
        <f t="shared" si="3"/>
        <v>2814.9637999999977</v>
      </c>
      <c r="K8" s="56">
        <f t="shared" si="3"/>
        <v>49174.166666666686</v>
      </c>
      <c r="L8" s="56">
        <f t="shared" si="3"/>
        <v>52051</v>
      </c>
      <c r="M8" s="56">
        <f t="shared" si="3"/>
        <v>0</v>
      </c>
      <c r="N8" s="56">
        <f t="shared" si="3"/>
        <v>0</v>
      </c>
      <c r="O8" s="56">
        <f>SUM(C8:N8)</f>
        <v>126673.11094285717</v>
      </c>
    </row>
    <row r="9" spans="2:15" s="3" customFormat="1" ht="24.95" customHeight="1" x14ac:dyDescent="0.25">
      <c r="B9" s="3" t="s">
        <v>6</v>
      </c>
      <c r="C9" s="8">
        <f t="shared" ref="C9:N9" si="4">C4-C6+C3</f>
        <v>-12371.879523809526</v>
      </c>
      <c r="D9" s="8">
        <f t="shared" si="4"/>
        <v>-32785.029523809528</v>
      </c>
      <c r="E9" s="8">
        <f t="shared" si="4"/>
        <v>-51579.179523809522</v>
      </c>
      <c r="F9" s="8">
        <f t="shared" si="4"/>
        <v>-50114.179523809522</v>
      </c>
      <c r="G9" s="8">
        <f t="shared" si="4"/>
        <v>-73180.319523809521</v>
      </c>
      <c r="H9" s="8">
        <f t="shared" si="4"/>
        <v>-63676.839523809525</v>
      </c>
      <c r="I9" s="8">
        <f t="shared" si="4"/>
        <v>22632.980476190482</v>
      </c>
      <c r="J9" s="8">
        <f t="shared" si="4"/>
        <v>25447.944276190479</v>
      </c>
      <c r="K9" s="8">
        <f t="shared" si="4"/>
        <v>74622.110942857165</v>
      </c>
      <c r="L9" s="8">
        <f t="shared" si="4"/>
        <v>126673.11094285717</v>
      </c>
      <c r="M9" s="8">
        <f t="shared" si="4"/>
        <v>126673.11094285717</v>
      </c>
      <c r="N9" s="8">
        <f t="shared" si="4"/>
        <v>126673.11094285717</v>
      </c>
      <c r="O9" s="8"/>
    </row>
    <row r="10" spans="2:15" ht="11.1" customHeight="1" x14ac:dyDescent="0.25"/>
    <row r="11" spans="2:15" s="3" customFormat="1" ht="14.1" customHeight="1" x14ac:dyDescent="0.25">
      <c r="B11" s="13" t="s">
        <v>30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</row>
    <row r="12" spans="2:15" s="3" customFormat="1" ht="14.1" customHeight="1" x14ac:dyDescent="0.25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2:15" s="3" customFormat="1" ht="14.1" customHeight="1" x14ac:dyDescent="0.25">
      <c r="B13" s="9" t="s">
        <v>99</v>
      </c>
      <c r="C13" s="5">
        <f>SUMIF(Enero_2024[CATEGORÍA],$B13,Enero_2024[INGRESO])</f>
        <v>22044</v>
      </c>
      <c r="D13" s="5">
        <f>SUMIF(Febrero_2024[CATEGORÍA],$B13,Febrero_2024[INGRESO])</f>
        <v>15818</v>
      </c>
      <c r="E13" s="5">
        <f>SUMIF(Marzo_2024[CATEGORÍA],$B13,Marzo_2024[INGRESO])</f>
        <v>53120</v>
      </c>
      <c r="F13" s="5">
        <f>SUMIF(Abril_2024[CATEGORÍA],$B13,Abril_2024[INGRESO])</f>
        <v>32080</v>
      </c>
      <c r="G13" s="5">
        <f>SUMIF(Mayo_2024[CATEGORÍA],$B13,Mayo_2024[INGRESO])</f>
        <v>12675</v>
      </c>
      <c r="H13" s="5">
        <f>SUMIF(Junio_2024[CATEGORÍA],$B13,Junio_2024[INGRESO])</f>
        <v>43615</v>
      </c>
      <c r="I13" s="5">
        <f>SUMIF(Julio_2024[CATEGORÍA],$B13,Julio_2024[INGRESO])</f>
        <v>132200</v>
      </c>
      <c r="J13" s="5">
        <f>SUMIF(Agosto_2024[CATEGORÍA],$B13,Agosto_2024[INGRESO])</f>
        <v>84997.5</v>
      </c>
      <c r="K13" s="5">
        <f>SUMIF(Septiembre_2024[CATEGORÍA],$B13,Septiembre_2024[INGRESO])</f>
        <v>99340</v>
      </c>
      <c r="L13" s="5">
        <f>SUMIF(Octubre_2024[CATEGORÍA],$B13,Octubre_2024[INGRESO])</f>
        <v>66120</v>
      </c>
      <c r="M13" s="5">
        <f>SUMIF(Noviembre_2024[CATEGORÍA],$B13,Noviembre_2024[INGRESO])</f>
        <v>0</v>
      </c>
      <c r="N13" s="5">
        <f>SUMIF(Diciembre_2024[CATEGORÍA],$B13,Diciembre_2024[INGRESO])</f>
        <v>0</v>
      </c>
      <c r="O13" s="12">
        <f>SUM(D13:N13)</f>
        <v>539965.5</v>
      </c>
    </row>
    <row r="14" spans="2:15" s="3" customFormat="1" ht="14.1" customHeight="1" x14ac:dyDescent="0.25">
      <c r="B14" s="9" t="s">
        <v>116</v>
      </c>
      <c r="C14" s="5">
        <f>SUMIF(Enero_2024[CATEGORÍA],$B14,Enero_2024[INGRESO])</f>
        <v>0</v>
      </c>
      <c r="D14" s="5">
        <f>SUMIF(Febrero_2024[CATEGORÍA],$B14,Febrero_2024[INGRESO])</f>
        <v>0</v>
      </c>
      <c r="E14" s="5">
        <f>SUMIF(Marzo_2024[CATEGORÍA],$B14,Marzo_2024[INGRESO])</f>
        <v>0</v>
      </c>
      <c r="F14" s="5">
        <f>SUMIF(Abril_2024[CATEGORÍA],$B14,Abril_2024[INGRESO])</f>
        <v>0</v>
      </c>
      <c r="G14" s="5">
        <f>SUMIF(Mayo_2024[CATEGORÍA],$B14,Mayo_2024[INGRESO])</f>
        <v>0</v>
      </c>
      <c r="H14" s="5">
        <f>SUMIF(Junio_2024[CATEGORÍA],$B14,Junio_2024[INGRESO])</f>
        <v>0</v>
      </c>
      <c r="I14" s="5">
        <f>SUMIF(Julio_2024[CATEGORÍA],$B14,Julio_2024[INGRESO])</f>
        <v>0</v>
      </c>
      <c r="J14" s="5">
        <f>SUMIF(Agosto_2024[CATEGORÍA],$B14,Agosto_2024[INGRESO])</f>
        <v>0</v>
      </c>
      <c r="K14" s="5">
        <f>SUMIF(Septiembre_2024[CATEGORÍA],$B14,Septiembre_2024[INGRESO])</f>
        <v>0</v>
      </c>
      <c r="L14" s="5">
        <f>SUMIF(Octubre_2024[CATEGORÍA],$B14,Octubre_2024[INGRESO])</f>
        <v>0</v>
      </c>
      <c r="M14" s="5">
        <f>SUMIF(Noviembre_2024[CATEGORÍA],$B14,Noviembre_2024[INGRESO])</f>
        <v>0</v>
      </c>
      <c r="N14" s="5">
        <f>SUMIF(Diciembre_2024[CATEGORÍA],$B14,Diciembre_2024[INGRESO])</f>
        <v>0</v>
      </c>
      <c r="O14" s="12">
        <f>SUM(D14:N14)</f>
        <v>0</v>
      </c>
    </row>
    <row r="15" spans="2:15" s="3" customFormat="1" ht="14.1" customHeight="1" x14ac:dyDescent="0.25">
      <c r="B15" s="9" t="s">
        <v>100</v>
      </c>
      <c r="C15" s="5">
        <f>SUMIF(Enero_2024[CATEGORÍA],$B15,Enero_2024[INGRESO])</f>
        <v>0</v>
      </c>
      <c r="D15" s="5">
        <f>SUMIF(Febrero_2024[CATEGORÍA],$B15,Febrero_2024[INGRESO])</f>
        <v>350</v>
      </c>
      <c r="E15" s="5">
        <f>SUMIF(Marzo_2024[CATEGORÍA],$B15,Marzo_2024[INGRESO])</f>
        <v>400</v>
      </c>
      <c r="F15" s="5">
        <f>SUMIF(Abril_2024[CATEGORÍA],$B15,Abril_2024[INGRESO])</f>
        <v>130</v>
      </c>
      <c r="G15" s="5">
        <f>SUMIF(Mayo_2024[CATEGORÍA],$B15,Mayo_2024[INGRESO])</f>
        <v>0</v>
      </c>
      <c r="H15" s="5">
        <f>SUMIF(Junio_2024[CATEGORÍA],$B15,Junio_2024[INGRESO])</f>
        <v>0</v>
      </c>
      <c r="I15" s="5">
        <f>SUMIF(Julio_2024[CATEGORÍA],$B15,Julio_2024[INGRESO])</f>
        <v>0</v>
      </c>
      <c r="J15" s="5">
        <f>SUMIF(Agosto_2024[CATEGORÍA],$B15,Agosto_2024[INGRESO])</f>
        <v>835</v>
      </c>
      <c r="K15" s="5">
        <f>SUMIF(Septiembre_2024[CATEGORÍA],$B15,Septiembre_2024[INGRESO])</f>
        <v>5265</v>
      </c>
      <c r="L15" s="5">
        <f>SUMIF(Octubre_2024[CATEGORÍA],$B15,Octubre_2024[INGRESO])</f>
        <v>0</v>
      </c>
      <c r="M15" s="5">
        <f>SUMIF(Noviembre_2024[CATEGORÍA],$B15,Noviembre_2024[INGRESO])</f>
        <v>0</v>
      </c>
      <c r="N15" s="5">
        <f>SUMIF(Diciembre_2024[CATEGORÍA],$B15,Diciembre_2024[INGRESO])</f>
        <v>0</v>
      </c>
      <c r="O15" s="12">
        <f t="shared" ref="O15" si="5">SUM(D15:N15)</f>
        <v>6980</v>
      </c>
    </row>
    <row r="16" spans="2:15" s="3" customFormat="1" ht="14.1" customHeight="1" x14ac:dyDescent="0.25">
      <c r="B16" s="9" t="s">
        <v>101</v>
      </c>
      <c r="C16" s="5">
        <f>SUMIF(Enero_2024[CATEGORÍA],$B16,Enero_2024[INGRESO])</f>
        <v>0</v>
      </c>
      <c r="D16" s="5">
        <f>SUMIF(Febrero_2024[CATEGORÍA],$B16,Febrero_2024[INGRESO])</f>
        <v>0</v>
      </c>
      <c r="E16" s="5">
        <f>SUMIF(Marzo_2024[CATEGORÍA],$B16,Marzo_2024[INGRESO])</f>
        <v>0</v>
      </c>
      <c r="F16" s="5">
        <f>SUMIF(Abril_2024[CATEGORÍA],$B16,Abril_2024[INGRESO])</f>
        <v>0</v>
      </c>
      <c r="G16" s="5">
        <f>SUMIF(Mayo_2024[CATEGORÍA],$B16,Mayo_2024[INGRESO])</f>
        <v>0</v>
      </c>
      <c r="H16" s="5">
        <f>SUMIF(Junio_2024[CATEGORÍA],$B16,Junio_2024[INGRESO])</f>
        <v>0</v>
      </c>
      <c r="I16" s="5">
        <f>SUMIF(Julio_2024[CATEGORÍA],$B16,Julio_2024[INGRESO])</f>
        <v>0</v>
      </c>
      <c r="J16" s="5">
        <f>SUMIF(Agosto_2024[CATEGORÍA],$B16,Agosto_2024[INGRESO])</f>
        <v>0</v>
      </c>
      <c r="K16" s="5">
        <f>SUMIF(Septiembre_2024[CATEGORÍA],$B16,Septiembre_2024[INGRESO])</f>
        <v>0</v>
      </c>
      <c r="L16" s="5">
        <f>SUMIF(Octubre_2024[CATEGORÍA],$B16,Octubre_2024[INGRESO])</f>
        <v>0</v>
      </c>
      <c r="M16" s="5">
        <f>SUMIF(Noviembre_2024[CATEGORÍA],$B16,Noviembre_2024[INGRESO])</f>
        <v>0</v>
      </c>
      <c r="N16" s="5">
        <f>SUMIF(Diciembre_2024[CATEGORÍA],$B16,Diciembre_2024[INGRESO])</f>
        <v>0</v>
      </c>
      <c r="O16" s="12">
        <f t="shared" ref="O16" si="6">SUM(D16:N16)</f>
        <v>0</v>
      </c>
    </row>
    <row r="17" spans="2:15" s="3" customFormat="1" ht="14.1" customHeight="1" x14ac:dyDescent="0.25">
      <c r="B17" s="9" t="s">
        <v>7</v>
      </c>
      <c r="C17" s="5">
        <f>SUMIF(Enero_2024[CATEGORÍA],$B17,Enero_2024[INGRESO])</f>
        <v>0</v>
      </c>
      <c r="D17" s="5">
        <f>SUMIF(Febrero_2024[CATEGORÍA],$B17,Febrero_2024[INGRESO])</f>
        <v>0</v>
      </c>
      <c r="E17" s="5">
        <f>SUMIF(Marzo_2024[CATEGORÍA],$B17,Marzo_2024[INGRESO])</f>
        <v>0</v>
      </c>
      <c r="F17" s="5">
        <f>SUMIF(Abril_2024[CATEGORÍA],$B17,Abril_2024[INGRESO])</f>
        <v>0</v>
      </c>
      <c r="G17" s="5">
        <f>SUMIF(Mayo_2024[CATEGORÍA],$B17,Mayo_2024[INGRESO])</f>
        <v>0</v>
      </c>
      <c r="H17" s="5">
        <f>SUMIF(Junio_2024[CATEGORÍA],$B17,Junio_2024[INGRESO])</f>
        <v>0</v>
      </c>
      <c r="I17" s="5">
        <f>SUMIF(Julio_2024[CATEGORÍA],$B17,Julio_2024[INGRESO])</f>
        <v>0</v>
      </c>
      <c r="J17" s="5">
        <f>SUMIF(Agosto_2024[CATEGORÍA],$B17,Agosto_2024[INGRESO])</f>
        <v>0</v>
      </c>
      <c r="K17" s="5">
        <f>SUMIF(Septiembre_2024[CATEGORÍA],$B17,Septiembre_2024[INGRESO])</f>
        <v>0</v>
      </c>
      <c r="L17" s="5">
        <f>SUMIF(Octubre_2024[CATEGORÍA],$B17,Octubre_2024[INGRESO])</f>
        <v>0</v>
      </c>
      <c r="M17" s="5">
        <f>SUMIF(Noviembre_2024[CATEGORÍA],$B17,Noviembre_2024[INGRESO])</f>
        <v>0</v>
      </c>
      <c r="N17" s="5">
        <f>SUMIF(Diciembre_2024[CATEGORÍA],$B17,Diciembre_2024[INGRESO])</f>
        <v>0</v>
      </c>
      <c r="O17" s="12">
        <f t="shared" ref="O17:O22" si="7">SUM(D17:N17)</f>
        <v>0</v>
      </c>
    </row>
    <row r="18" spans="2:15" s="3" customFormat="1" ht="14.1" customHeight="1" x14ac:dyDescent="0.25">
      <c r="B18" s="9" t="s">
        <v>86</v>
      </c>
      <c r="C18" s="5">
        <f>SUMIF(Enero_2024[CATEGORÍA],$B18,Enero_2024[INGRESO])</f>
        <v>0</v>
      </c>
      <c r="D18" s="5">
        <f>SUMIF(Febrero_2024[CATEGORÍA],$B18,Febrero_2024[INGRESO])</f>
        <v>0</v>
      </c>
      <c r="E18" s="5">
        <f>SUMIF(Marzo_2024[CATEGORÍA],$B18,Marzo_2024[INGRESO])</f>
        <v>0</v>
      </c>
      <c r="F18" s="5">
        <f>SUMIF(Abril_2024[CATEGORÍA],$B18,Abril_2024[INGRESO])</f>
        <v>0</v>
      </c>
      <c r="G18" s="5">
        <f>SUMIF(Mayo_2024[CATEGORÍA],$B18,Mayo_2024[INGRESO])</f>
        <v>0</v>
      </c>
      <c r="H18" s="5">
        <f>SUMIF(Junio_2024[CATEGORÍA],$B18,Junio_2024[INGRESO])</f>
        <v>0</v>
      </c>
      <c r="I18" s="5">
        <f>SUMIF(Julio_2024[CATEGORÍA],$B18,Julio_2024[INGRESO])</f>
        <v>0</v>
      </c>
      <c r="J18" s="5">
        <f>SUMIF(Agosto_2024[CATEGORÍA],$B18,Agosto_2024[INGRESO])</f>
        <v>0</v>
      </c>
      <c r="K18" s="5">
        <f>SUMIF(Septiembre_2024[CATEGORÍA],$B18,Septiembre_2024[INGRESO])</f>
        <v>0</v>
      </c>
      <c r="L18" s="5">
        <f>SUMIF(Octubre_2024[CATEGORÍA],$B18,Octubre_2024[INGRESO])</f>
        <v>0</v>
      </c>
      <c r="M18" s="5">
        <f>SUMIF(Noviembre_2024[CATEGORÍA],$B18,Noviembre_2024[INGRESO])</f>
        <v>0</v>
      </c>
      <c r="N18" s="5">
        <f>SUMIF(Diciembre_2024[CATEGORÍA],$B18,Diciembre_2024[INGRESO])</f>
        <v>0</v>
      </c>
      <c r="O18" s="12">
        <f t="shared" si="7"/>
        <v>0</v>
      </c>
    </row>
    <row r="19" spans="2:15" s="3" customFormat="1" ht="14.1" customHeight="1" x14ac:dyDescent="0.25">
      <c r="B19" s="9" t="s">
        <v>21</v>
      </c>
      <c r="C19" s="5">
        <f>SUMIF(Enero_2024[CATEGORÍA],$B19,Enero_2024[INGRESO])</f>
        <v>0</v>
      </c>
      <c r="D19" s="5">
        <f>SUMIF(Febrero_2024[CATEGORÍA],$B19,Febrero_2024[INGRESO])</f>
        <v>0</v>
      </c>
      <c r="E19" s="5">
        <f>SUMIF(Marzo_2024[CATEGORÍA],$B19,Marzo_2024[INGRESO])</f>
        <v>0</v>
      </c>
      <c r="F19" s="5">
        <f>SUMIF(Abril_2024[CATEGORÍA],$B19,Abril_2024[INGRESO])</f>
        <v>0</v>
      </c>
      <c r="G19" s="5">
        <f>SUMIF(Mayo_2024[CATEGORÍA],$B19,Mayo_2024[INGRESO])</f>
        <v>0</v>
      </c>
      <c r="H19" s="5">
        <f>SUMIF(Junio_2024[CATEGORÍA],$B19,Junio_2024[INGRESO])</f>
        <v>0</v>
      </c>
      <c r="I19" s="5">
        <f>SUMIF(Julio_2024[CATEGORÍA],$B19,Julio_2024[INGRESO])</f>
        <v>0</v>
      </c>
      <c r="J19" s="5">
        <f>SUMIF(Agosto_2024[CATEGORÍA],$B19,Agosto_2024[INGRESO])</f>
        <v>0</v>
      </c>
      <c r="K19" s="5">
        <f>SUMIF(Septiembre_2024[CATEGORÍA],$B19,Septiembre_2024[INGRESO])</f>
        <v>0</v>
      </c>
      <c r="L19" s="5">
        <f>SUMIF(Octubre_2024[CATEGORÍA],$B19,Octubre_2024[INGRESO])</f>
        <v>0</v>
      </c>
      <c r="M19" s="5">
        <f>SUMIF(Noviembre_2024[CATEGORÍA],$B19,Noviembre_2024[INGRESO])</f>
        <v>0</v>
      </c>
      <c r="N19" s="5">
        <f>SUMIF(Diciembre_2024[CATEGORÍA],$B19,Diciembre_2024[INGRESO])</f>
        <v>0</v>
      </c>
      <c r="O19" s="12">
        <f t="shared" si="7"/>
        <v>0</v>
      </c>
    </row>
    <row r="20" spans="2:15" s="3" customFormat="1" ht="14.1" customHeight="1" x14ac:dyDescent="0.25">
      <c r="B20" s="9" t="s">
        <v>39</v>
      </c>
      <c r="C20" s="5">
        <f>SUMIF(Enero_2024[CATEGORÍA],$B20,Enero_2024[INGRESO])</f>
        <v>0</v>
      </c>
      <c r="D20" s="5">
        <f>SUMIF(Febrero_2024[CATEGORÍA],$B20,Febrero_2024[INGRESO])</f>
        <v>0</v>
      </c>
      <c r="E20" s="5">
        <f>SUMIF(Marzo_2024[CATEGORÍA],$B20,Marzo_2024[INGRESO])</f>
        <v>0</v>
      </c>
      <c r="F20" s="5">
        <f>SUMIF(Abril_2024[CATEGORÍA],$B20,Abril_2024[INGRESO])</f>
        <v>0</v>
      </c>
      <c r="G20" s="5">
        <f>SUMIF(Mayo_2024[CATEGORÍA],$B20,Mayo_2024[INGRESO])</f>
        <v>0</v>
      </c>
      <c r="H20" s="5">
        <f>SUMIF(Junio_2024[CATEGORÍA],$B20,Junio_2024[INGRESO])</f>
        <v>0</v>
      </c>
      <c r="I20" s="5">
        <f>SUMIF(Julio_2024[CATEGORÍA],$B20,Julio_2024[INGRESO])</f>
        <v>0</v>
      </c>
      <c r="J20" s="5">
        <f>SUMIF(Agosto_2024[CATEGORÍA],$B20,Agosto_2024[INGRESO])</f>
        <v>0</v>
      </c>
      <c r="K20" s="5">
        <f>SUMIF(Septiembre_2024[CATEGORÍA],$B20,Septiembre_2024[INGRESO])</f>
        <v>0</v>
      </c>
      <c r="L20" s="5">
        <f>SUMIF(Octubre_2024[CATEGORÍA],$B20,Octubre_2024[INGRESO])</f>
        <v>0</v>
      </c>
      <c r="M20" s="5">
        <f>SUMIF(Noviembre_2024[CATEGORÍA],$B20,Noviembre_2024[INGRESO])</f>
        <v>0</v>
      </c>
      <c r="N20" s="5">
        <f>SUMIF(Diciembre_2024[CATEGORÍA],$B20,Diciembre_2024[INGRESO])</f>
        <v>0</v>
      </c>
      <c r="O20" s="12">
        <f t="shared" si="7"/>
        <v>0</v>
      </c>
    </row>
    <row r="21" spans="2:15" s="3" customFormat="1" ht="14.1" customHeight="1" x14ac:dyDescent="0.25">
      <c r="B21" s="9" t="s">
        <v>72</v>
      </c>
      <c r="C21" s="5">
        <f>SUMIF(Enero_2024[CATEGORÍA],$B21,Enero_2024[INGRESO])</f>
        <v>0</v>
      </c>
      <c r="D21" s="5">
        <f>SUMIF(Febrero_2024[CATEGORÍA],$B21,Febrero_2024[INGRESO])</f>
        <v>0</v>
      </c>
      <c r="E21" s="5">
        <f>SUMIF(Marzo_2024[CATEGORÍA],$B21,Marzo_2024[INGRESO])</f>
        <v>0</v>
      </c>
      <c r="F21" s="5">
        <f>SUMIF(Abril_2024[CATEGORÍA],$B21,Abril_2024[INGRESO])</f>
        <v>0</v>
      </c>
      <c r="G21" s="5">
        <f>SUMIF(Mayo_2024[CATEGORÍA],$B21,Mayo_2024[INGRESO])</f>
        <v>0</v>
      </c>
      <c r="H21" s="5">
        <f>SUMIF(Junio_2024[CATEGORÍA],$B21,Junio_2024[INGRESO])</f>
        <v>0</v>
      </c>
      <c r="I21" s="5">
        <f>SUMIF(Julio_2024[CATEGORÍA],$B21,Julio_2024[INGRESO])</f>
        <v>0</v>
      </c>
      <c r="J21" s="5">
        <f>SUMIF(Agosto_2024[CATEGORÍA],$B21,Agosto_2024[INGRESO])</f>
        <v>0</v>
      </c>
      <c r="K21" s="5">
        <f>SUMIF(Septiembre_2024[CATEGORÍA],$B21,Septiembre_2024[INGRESO])</f>
        <v>0</v>
      </c>
      <c r="L21" s="5">
        <f>SUMIF(Octubre_2024[CATEGORÍA],$B21,Octubre_2024[INGRESO])</f>
        <v>0</v>
      </c>
      <c r="M21" s="5">
        <f>SUMIF(Noviembre_2024[CATEGORÍA],$B21,Noviembre_2024[INGRESO])</f>
        <v>0</v>
      </c>
      <c r="N21" s="5">
        <f>SUMIF(Diciembre_2024[CATEGORÍA],$B21,Diciembre_2024[INGRESO])</f>
        <v>0</v>
      </c>
      <c r="O21" s="12">
        <f t="shared" si="7"/>
        <v>0</v>
      </c>
    </row>
    <row r="22" spans="2:15" s="3" customFormat="1" ht="14.1" customHeight="1" x14ac:dyDescent="0.25">
      <c r="B22" s="9" t="s">
        <v>40</v>
      </c>
      <c r="C22" s="5">
        <f>SUMIF(Enero_2024[CATEGORÍA],$B22,Enero_2024[INGRESO])</f>
        <v>0</v>
      </c>
      <c r="D22" s="5">
        <f>SUMIF(Febrero_2024[CATEGORÍA],$B22,Febrero_2024[INGRESO])</f>
        <v>0</v>
      </c>
      <c r="E22" s="5">
        <f>SUMIF(Marzo_2024[CATEGORÍA],$B22,Marzo_2024[INGRESO])</f>
        <v>0</v>
      </c>
      <c r="F22" s="5">
        <f>SUMIF(Abril_2024[CATEGORÍA],$B22,Abril_2024[INGRESO])</f>
        <v>0</v>
      </c>
      <c r="G22" s="5">
        <f>SUMIF(Mayo_2024[CATEGORÍA],$B22,Mayo_2024[INGRESO])</f>
        <v>0</v>
      </c>
      <c r="H22" s="5">
        <f>SUMIF(Junio_2024[CATEGORÍA],$B22,Junio_2024[INGRESO])</f>
        <v>0</v>
      </c>
      <c r="I22" s="5">
        <f>SUMIF(Julio_2024[CATEGORÍA],$B22,Julio_2024[INGRESO])</f>
        <v>0</v>
      </c>
      <c r="J22" s="5">
        <f>SUMIF(Agosto_2024[CATEGORÍA],$B22,Agosto_2024[INGRESO])</f>
        <v>0</v>
      </c>
      <c r="K22" s="5">
        <f>SUMIF(Septiembre_2024[CATEGORÍA],$B22,Septiembre_2024[INGRESO])</f>
        <v>0</v>
      </c>
      <c r="L22" s="5">
        <f>SUMIF(Octubre_2024[CATEGORÍA],$B22,Octubre_2024[INGRESO])</f>
        <v>0</v>
      </c>
      <c r="M22" s="5">
        <f>SUMIF(Noviembre_2024[CATEGORÍA],$B22,Noviembre_2024[INGRESO])</f>
        <v>0</v>
      </c>
      <c r="N22" s="5">
        <f>SUMIF(Diciembre_2024[CATEGORÍA],$B22,Diciembre_2024[INGRESO])</f>
        <v>0</v>
      </c>
      <c r="O22" s="12">
        <f t="shared" si="7"/>
        <v>0</v>
      </c>
    </row>
    <row r="23" spans="2:15" s="3" customFormat="1" ht="14.1" customHeight="1" x14ac:dyDescent="0.25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2:15" s="3" customFormat="1" ht="14.1" customHeight="1" x14ac:dyDescent="0.25">
      <c r="B24" s="16" t="s">
        <v>8</v>
      </c>
      <c r="C24" s="17">
        <f t="shared" ref="C24:O24" si="8">SUM(C13:C22)</f>
        <v>22044</v>
      </c>
      <c r="D24" s="17">
        <f t="shared" si="8"/>
        <v>16168</v>
      </c>
      <c r="E24" s="17">
        <f t="shared" si="8"/>
        <v>53520</v>
      </c>
      <c r="F24" s="17">
        <f t="shared" si="8"/>
        <v>32210</v>
      </c>
      <c r="G24" s="17">
        <f t="shared" si="8"/>
        <v>12675</v>
      </c>
      <c r="H24" s="17">
        <f t="shared" si="8"/>
        <v>43615</v>
      </c>
      <c r="I24" s="17">
        <f t="shared" si="8"/>
        <v>132200</v>
      </c>
      <c r="J24" s="17">
        <f t="shared" si="8"/>
        <v>85832.5</v>
      </c>
      <c r="K24" s="17">
        <f t="shared" si="8"/>
        <v>104605</v>
      </c>
      <c r="L24" s="17">
        <f t="shared" si="8"/>
        <v>66120</v>
      </c>
      <c r="M24" s="17">
        <f t="shared" si="8"/>
        <v>0</v>
      </c>
      <c r="N24" s="17">
        <f t="shared" si="8"/>
        <v>0</v>
      </c>
      <c r="O24" s="17">
        <f t="shared" si="8"/>
        <v>546945.5</v>
      </c>
    </row>
    <row r="25" spans="2:15" ht="11.1" customHeight="1" x14ac:dyDescent="0.25"/>
    <row r="26" spans="2:15" s="3" customFormat="1" ht="14.1" customHeight="1" x14ac:dyDescent="0.25">
      <c r="B26" s="13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</row>
    <row r="27" spans="2:15" s="3" customFormat="1" ht="14.1" customHeight="1" x14ac:dyDescent="0.25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2:15" s="3" customFormat="1" ht="14.1" customHeight="1" x14ac:dyDescent="0.25">
      <c r="B28" s="9" t="s">
        <v>41</v>
      </c>
      <c r="C28" s="5">
        <f>SUMIF(Enero_2024[CATEGORÍA],$B28,Enero_2024[INGRESO])</f>
        <v>0</v>
      </c>
      <c r="D28" s="5">
        <f>SUMIF(Febrero_2024[CATEGORÍA],$B28,Febrero_2024[INGRESO])</f>
        <v>0</v>
      </c>
      <c r="E28" s="5">
        <f>SUMIF(Marzo_2024[CATEGORÍA],$B28,Marzo_2024[INGRESO])</f>
        <v>0</v>
      </c>
      <c r="F28" s="5">
        <f>SUMIF(Abril_2024[CATEGORÍA],$B28,Abril_2024[INGRESO])</f>
        <v>0</v>
      </c>
      <c r="G28" s="5">
        <f>SUMIF(Mayo_2024[CATEGORÍA],$B28,Mayo_2024[INGRESO])</f>
        <v>0</v>
      </c>
      <c r="H28" s="5">
        <f>SUMIF(Junio_2024[CATEGORÍA],$B28,Junio_2024[INGRESO])</f>
        <v>0</v>
      </c>
      <c r="I28" s="5">
        <f>SUMIF(Julio_2024[CATEGORÍA],$B28,Julio_2024[INGRESO])</f>
        <v>0</v>
      </c>
      <c r="J28" s="5">
        <f>SUMIF(Agosto_2024[CATEGORÍA],$B28,Agosto_2024[INGRESO])</f>
        <v>0</v>
      </c>
      <c r="K28" s="5">
        <f>SUMIF(Septiembre_2024[CATEGORÍA],$B28,Septiembre_2024[INGRESO])</f>
        <v>0</v>
      </c>
      <c r="L28" s="5">
        <f>SUMIF(Octubre_2024[CATEGORÍA],$B28,Octubre_2024[INGRESO])</f>
        <v>0</v>
      </c>
      <c r="M28" s="5">
        <f>SUMIF(Noviembre_2024[CATEGORÍA],$B28,Noviembre_2024[INGRESO])</f>
        <v>0</v>
      </c>
      <c r="N28" s="5">
        <f>SUMIF(Diciembre_2024[CATEGORÍA],$B28,Diciembre_2024[INGRESO])</f>
        <v>0</v>
      </c>
      <c r="O28" s="12">
        <f>SUM(D28:N28)</f>
        <v>0</v>
      </c>
    </row>
    <row r="29" spans="2:15" s="3" customFormat="1" ht="14.1" customHeight="1" x14ac:dyDescent="0.25">
      <c r="B29" s="9" t="s">
        <v>92</v>
      </c>
      <c r="C29" s="5">
        <f>C41</f>
        <v>2600</v>
      </c>
      <c r="D29" s="5">
        <f>C29+D41</f>
        <v>5800</v>
      </c>
      <c r="E29" s="5">
        <f t="shared" ref="E29:N29" si="9">D29+E41</f>
        <v>10200</v>
      </c>
      <c r="F29" s="5">
        <f t="shared" si="9"/>
        <v>13400</v>
      </c>
      <c r="G29" s="5">
        <f t="shared" si="9"/>
        <v>16600</v>
      </c>
      <c r="H29" s="5">
        <f t="shared" si="9"/>
        <v>19600</v>
      </c>
      <c r="I29" s="5">
        <f t="shared" si="9"/>
        <v>22800</v>
      </c>
      <c r="J29" s="5">
        <f t="shared" si="9"/>
        <v>27600</v>
      </c>
      <c r="K29" s="5">
        <f t="shared" si="9"/>
        <v>30800</v>
      </c>
      <c r="L29" s="5">
        <f t="shared" si="9"/>
        <v>30800</v>
      </c>
      <c r="M29" s="5">
        <f t="shared" si="9"/>
        <v>30800</v>
      </c>
      <c r="N29" s="5">
        <f t="shared" si="9"/>
        <v>30800</v>
      </c>
      <c r="O29" s="12">
        <f>SUM(D29:N29)</f>
        <v>239200</v>
      </c>
    </row>
    <row r="30" spans="2:15" s="3" customFormat="1" ht="14.1" customHeight="1" x14ac:dyDescent="0.25">
      <c r="B30" s="9" t="s">
        <v>93</v>
      </c>
      <c r="C30" s="5">
        <f>SUMIF(Enero_2024[CATEGORÍA],$B30,Enero_2024[INGRESO])</f>
        <v>0</v>
      </c>
      <c r="D30" s="5">
        <f>SUMIF(Febrero_2024[CATEGORÍA],$B30,Febrero_2024[INGRESO])+C30</f>
        <v>0</v>
      </c>
      <c r="E30" s="5">
        <f>SUMIF(Febrero_2024[SUB CATEGORIA],$B30,Febrero_2024[EGRESO])+D30</f>
        <v>0</v>
      </c>
      <c r="F30" s="5">
        <f ca="1">SUMIF(Febrero_2024[EQUILIBRAR],$B30,Febrero_2024[BENEFICIARIO/PROVEEDOR])+E30</f>
        <v>0</v>
      </c>
      <c r="G30" s="5">
        <f ca="1">SUMIF(Febrero_2024[CUENTA],$B30,Febrero_2024[NO. FACTURA])+F30</f>
        <v>0</v>
      </c>
      <c r="H30" s="5">
        <f ca="1">SUMIF(Febrero_2024[FECHA],$B30,Febrero_2024[NO. PROYECTO])+G30</f>
        <v>0</v>
      </c>
      <c r="I30" s="5">
        <f ca="1">SUMIF(Febrero_2024[INGRESO],$B30,Febrero_2024[DESCRIPCION])+H30</f>
        <v>0</v>
      </c>
      <c r="J30" s="5">
        <f ca="1">SUMIF(Febrero_2024[EGRESO],$B30,Febrero_2024[CATEGORÍA])+I30</f>
        <v>0</v>
      </c>
      <c r="K30" s="5">
        <f ca="1">SUMIF(Febrero_2024[BENEFICIARIO/PROVEEDOR],$B30,Febrero_2024[SUB CATEGORIA])+J30</f>
        <v>0</v>
      </c>
      <c r="L30" s="5">
        <f ca="1">SUMIF(Febrero_2024[NO. FACTURA],$B30,Febrero_2024[EQUILIBRAR])+K30</f>
        <v>0</v>
      </c>
      <c r="M30" s="5">
        <f ca="1">SUMIF(Febrero_2024[NO. PROYECTO],$B30,Febrero_2024[CUENTA])+L30</f>
        <v>0</v>
      </c>
      <c r="N30" s="5">
        <f ca="1">SUMIF(Febrero_2024[DESCRIPCION],$B30,Febrero_2024[FECHA])+M30</f>
        <v>0</v>
      </c>
      <c r="O30" s="12"/>
    </row>
    <row r="31" spans="2:15" s="3" customFormat="1" ht="14.1" customHeight="1" x14ac:dyDescent="0.25">
      <c r="B31" s="9" t="s">
        <v>43</v>
      </c>
      <c r="C31" s="5">
        <f>SUMIF(Enero_2024[CATEGORÍA],$B31,Enero_2024[INGRESO])</f>
        <v>0</v>
      </c>
      <c r="D31" s="5">
        <f>SUMIF(Febrero_2024[CATEGORÍA],$B31,Febrero_2024[INGRESO])</f>
        <v>0</v>
      </c>
      <c r="E31" s="5">
        <f>SUMIF(Marzo_2024[CATEGORÍA],$B31,Marzo_2024[INGRESO])</f>
        <v>0</v>
      </c>
      <c r="F31" s="5">
        <f>SUMIF(Abril_2024[CATEGORÍA],$B31,Abril_2024[INGRESO])</f>
        <v>0</v>
      </c>
      <c r="G31" s="5">
        <f>SUMIF(Mayo_2024[CATEGORÍA],$B31,Mayo_2024[INGRESO])</f>
        <v>0</v>
      </c>
      <c r="H31" s="5">
        <f>SUMIF(Junio_2024[CATEGORÍA],$B31,Junio_2024[INGRESO])</f>
        <v>0</v>
      </c>
      <c r="I31" s="5">
        <f>SUMIF(Julio_2024[CATEGORÍA],$B31,Julio_2024[INGRESO])</f>
        <v>0</v>
      </c>
      <c r="J31" s="5">
        <f>SUMIF(Agosto_2024[CATEGORÍA],$B31,Agosto_2024[INGRESO])</f>
        <v>4000</v>
      </c>
      <c r="K31" s="5">
        <f>SUMIF(Septiembre_2024[CATEGORÍA],$B31,Septiembre_2024[INGRESO])</f>
        <v>0</v>
      </c>
      <c r="L31" s="5">
        <f>SUMIF(Octubre_2024[CATEGORÍA],$B31,Octubre_2024[INGRESO])</f>
        <v>0</v>
      </c>
      <c r="M31" s="5">
        <f>SUMIF(Noviembre_2024[CATEGORÍA],$B31,Noviembre_2024[INGRESO])</f>
        <v>146610</v>
      </c>
      <c r="N31" s="5">
        <f>SUMIF(Diciembre_2024[CATEGORÍA],$B31,Diciembre_2024[INGRESO])</f>
        <v>0</v>
      </c>
      <c r="O31" s="12">
        <f>SUM(D31:N31)</f>
        <v>150610</v>
      </c>
    </row>
    <row r="32" spans="2:15" s="3" customFormat="1" ht="14.1" customHeight="1" x14ac:dyDescent="0.25">
      <c r="B32" s="9" t="s">
        <v>9</v>
      </c>
      <c r="C32" s="5">
        <f>SUMIF(Enero_2024[CATEGORÍA],$B32,Enero_2024[INGRESO])</f>
        <v>0</v>
      </c>
      <c r="D32" s="5">
        <f>SUMIF(Febrero_2024[CATEGORÍA],$B32,Febrero_2024[INGRESO])</f>
        <v>0</v>
      </c>
      <c r="E32" s="5">
        <f>SUMIF(Marzo_2024[CATEGORÍA],$B32,Marzo_2024[INGRESO])</f>
        <v>0</v>
      </c>
      <c r="F32" s="5">
        <f>SUMIF(Abril_2024[CATEGORÍA],$B32,Abril_2024[INGRESO])</f>
        <v>0</v>
      </c>
      <c r="G32" s="5">
        <f>SUMIF(Mayo_2024[CATEGORÍA],$B32,Mayo_2024[INGRESO])</f>
        <v>0</v>
      </c>
      <c r="H32" s="5">
        <f>SUMIF(Junio_2024[CATEGORÍA],$B32,Junio_2024[INGRESO])</f>
        <v>0</v>
      </c>
      <c r="I32" s="5">
        <f>SUMIF(Julio_2024[CATEGORÍA],$B32,Julio_2024[INGRESO])</f>
        <v>0</v>
      </c>
      <c r="J32" s="5">
        <f>SUMIF(Agosto_2024[CATEGORÍA],$B32,Agosto_2024[INGRESO])</f>
        <v>0</v>
      </c>
      <c r="K32" s="5">
        <f>SUMIF(Septiembre_2024[CATEGORÍA],$B32,Septiembre_2024[INGRESO])</f>
        <v>0</v>
      </c>
      <c r="L32" s="5">
        <f>SUMIF(Octubre_2024[CATEGORÍA],$B32,Octubre_2024[INGRESO])</f>
        <v>0</v>
      </c>
      <c r="M32" s="5">
        <f>SUMIF(Noviembre_2024[CATEGORÍA],$B32,Noviembre_2024[INGRESO])</f>
        <v>0</v>
      </c>
      <c r="N32" s="5">
        <f>SUMIF(Diciembre_2024[CATEGORÍA],$B32,Diciembre_2024[INGRESO])</f>
        <v>0</v>
      </c>
      <c r="O32" s="12">
        <f>SUM(D32:N32)</f>
        <v>0</v>
      </c>
    </row>
    <row r="33" spans="2:15" s="3" customFormat="1" ht="14.1" customHeight="1" x14ac:dyDescent="0.25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</row>
    <row r="34" spans="2:15" s="3" customFormat="1" ht="14.1" customHeight="1" x14ac:dyDescent="0.25">
      <c r="B34" s="16" t="s">
        <v>8</v>
      </c>
      <c r="C34" s="17">
        <f>SUM(C28:C32)</f>
        <v>2600</v>
      </c>
      <c r="D34" s="17">
        <f t="shared" ref="D34:O34" si="10">SUM(D28:D32)</f>
        <v>5800</v>
      </c>
      <c r="E34" s="17">
        <f>SUM(E28:E32)</f>
        <v>10200</v>
      </c>
      <c r="F34" s="17">
        <f t="shared" ca="1" si="10"/>
        <v>13400</v>
      </c>
      <c r="G34" s="17">
        <f t="shared" ca="1" si="10"/>
        <v>16600</v>
      </c>
      <c r="H34" s="17">
        <f t="shared" ca="1" si="10"/>
        <v>19600</v>
      </c>
      <c r="I34" s="17">
        <f t="shared" ca="1" si="10"/>
        <v>22800</v>
      </c>
      <c r="J34" s="17">
        <f t="shared" ca="1" si="10"/>
        <v>31600</v>
      </c>
      <c r="K34" s="17">
        <f t="shared" ca="1" si="10"/>
        <v>30800</v>
      </c>
      <c r="L34" s="17">
        <f t="shared" ca="1" si="10"/>
        <v>30800</v>
      </c>
      <c r="M34" s="17">
        <f t="shared" ca="1" si="10"/>
        <v>177410</v>
      </c>
      <c r="N34" s="17">
        <f t="shared" ca="1" si="10"/>
        <v>30800</v>
      </c>
      <c r="O34" s="17">
        <f t="shared" si="10"/>
        <v>389810</v>
      </c>
    </row>
    <row r="35" spans="2:15" ht="11.1" customHeight="1" x14ac:dyDescent="0.25"/>
    <row r="36" spans="2:15" s="3" customFormat="1" ht="14.1" customHeight="1" x14ac:dyDescent="0.25">
      <c r="B36" s="13" t="s">
        <v>28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3"/>
    </row>
    <row r="37" spans="2:15" s="3" customFormat="1" ht="14.1" customHeight="1" x14ac:dyDescent="0.25">
      <c r="B37" s="18" t="s">
        <v>31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/>
    </row>
    <row r="38" spans="2:15" s="3" customFormat="1" ht="14.1" customHeight="1" x14ac:dyDescent="0.25">
      <c r="B38" s="9" t="s">
        <v>65</v>
      </c>
      <c r="C38" s="5">
        <f>SUMIF(Enero_2024[CATEGORÍA],$B38,Enero_2024[EGRESO])</f>
        <v>24465.712857142862</v>
      </c>
      <c r="D38" s="5">
        <f>SUMIF(Febrero_2024[CATEGORÍA],$B38,Febrero_2024[EGRESO])</f>
        <v>23700</v>
      </c>
      <c r="E38" s="5">
        <f>SUMIF(Marzo_2024[CATEGORÍA],$B38,Marzo_2024[EGRESO])</f>
        <v>34950</v>
      </c>
      <c r="F38" s="5">
        <f>SUMIF(Abril_2024[CATEGORÍA],$B38,Abril_2024[EGRESO])</f>
        <v>22900</v>
      </c>
      <c r="G38" s="5">
        <f>SUMIF(Mayo_2024[CATEGORÍA],$B38,Mayo_2024[EGRESO])</f>
        <v>22100</v>
      </c>
      <c r="H38" s="5">
        <f>SUMIF(Junio_2024[CATEGORÍA],$B38,Junio_2024[EGRESO])</f>
        <v>22100</v>
      </c>
      <c r="I38" s="5">
        <f>SUMIF(Julio_2024[CATEGORÍA],$B38,Julio_2024[EGRESO])</f>
        <v>25100</v>
      </c>
      <c r="J38" s="5">
        <f>SUMIF(Agosto_2024[CATEGORÍA],$B38,Agosto_2024[EGRESO])</f>
        <v>38550</v>
      </c>
      <c r="K38" s="5">
        <f>SUMIF(Septiembre_2024[CATEGORÍA],$B38,Septiembre_2024[EGRESO])</f>
        <v>32099.999999999982</v>
      </c>
      <c r="L38" s="5">
        <f>SUMIF(Octubre_2024[CATEGORÍA],$B38,Octubre_2024[EGRESO])</f>
        <v>0</v>
      </c>
      <c r="M38" s="5">
        <f>SUMIF(Noviembre_2024[CATEGORÍA],$B38,Noviembre_2024[EGRESO])</f>
        <v>0</v>
      </c>
      <c r="N38" s="5">
        <f>SUMIF(Diciembre_2024[CATEGORÍA],$B38,Diciembre_2024[EGRESO])</f>
        <v>0</v>
      </c>
      <c r="O38" s="12">
        <f>SUM(D38:N38)</f>
        <v>221499.99999999997</v>
      </c>
    </row>
    <row r="39" spans="2:15" s="3" customFormat="1" ht="14.1" customHeight="1" x14ac:dyDescent="0.25">
      <c r="B39" s="9" t="s">
        <v>111</v>
      </c>
      <c r="C39" s="5">
        <f>SUMIF(Enero_2024[CATEGORÍA],$B39,Enero_2024[EGRESO])</f>
        <v>0</v>
      </c>
      <c r="D39" s="5">
        <f>SUMIF(Febrero_2024[CATEGORÍA],$B39,Febrero_2024[EGRESO])</f>
        <v>0</v>
      </c>
      <c r="E39" s="5">
        <f>SUMIF(Marzo_2024[CATEGORÍA],$B39,Marzo_2024[EGRESO])</f>
        <v>0</v>
      </c>
      <c r="F39" s="5">
        <f>SUMIF(Abril_2024[CATEGORÍA],$B39,Abril_2024[EGRESO])</f>
        <v>0</v>
      </c>
      <c r="G39" s="5">
        <f>SUMIF(Mayo_2024[CATEGORÍA],$B39,Mayo_2024[EGRESO])</f>
        <v>0</v>
      </c>
      <c r="H39" s="5">
        <f>SUMIF(Junio_2024[CATEGORÍA],$B39,Junio_2024[EGRESO])</f>
        <v>0</v>
      </c>
      <c r="I39" s="5">
        <f>SUMIF(Julio_2024[CATEGORÍA],$B39,Julio_2024[EGRESO])</f>
        <v>0</v>
      </c>
      <c r="J39" s="5">
        <f>SUMIF(Agosto_2024[CATEGORÍA],$B39,Agosto_2024[EGRESO])</f>
        <v>0</v>
      </c>
      <c r="K39" s="5">
        <f>SUMIF(Septiembre_2024[CATEGORÍA],$B39,Septiembre_2024[EGRESO])</f>
        <v>0</v>
      </c>
      <c r="L39" s="5">
        <f>SUMIF(Octubre_2024[CATEGORÍA],$B39,Octubre_2024[EGRESO])</f>
        <v>0</v>
      </c>
      <c r="M39" s="5">
        <f>SUMIF(Noviembre_2024[CATEGORÍA],$B39,Noviembre_2024[EGRESO])</f>
        <v>0</v>
      </c>
      <c r="N39" s="5">
        <f>SUMIF(Diciembre_2024[CATEGORÍA],$B39,Diciembre_2024[EGRESO])</f>
        <v>0</v>
      </c>
      <c r="O39" s="12">
        <f>SUM(D39:N39)</f>
        <v>0</v>
      </c>
    </row>
    <row r="40" spans="2:15" s="3" customFormat="1" ht="14.1" customHeight="1" x14ac:dyDescent="0.25">
      <c r="B40" s="9" t="s">
        <v>46</v>
      </c>
      <c r="C40" s="5">
        <f>SUMIF(Enero_2024[CATEGORÍA],$B40,Enero_2024[EGRESO])</f>
        <v>0</v>
      </c>
      <c r="D40" s="5">
        <f>SUMIF(Febrero_2024[CATEGORÍA],$B40,Febrero_2024[EGRESO])</f>
        <v>0</v>
      </c>
      <c r="E40" s="5">
        <f>SUMIF(Marzo_2024[CATEGORÍA],$B40,Marzo_2024[EGRESO])</f>
        <v>0</v>
      </c>
      <c r="F40" s="5">
        <f>SUMIF(Abril_2024[CATEGORÍA],$B40,Abril_2024[EGRESO])</f>
        <v>0</v>
      </c>
      <c r="G40" s="5">
        <f>SUMIF(Mayo_2024[CATEGORÍA],$B40,Mayo_2024[EGRESO])</f>
        <v>0</v>
      </c>
      <c r="H40" s="5">
        <f>SUMIF(Junio_2024[CATEGORÍA],$B40,Junio_2024[EGRESO])</f>
        <v>0</v>
      </c>
      <c r="I40" s="5">
        <f>SUMIF(Julio_2024[CATEGORÍA],$B40,Julio_2024[EGRESO])</f>
        <v>0</v>
      </c>
      <c r="J40" s="5">
        <f>SUMIF(Agosto_2024[CATEGORÍA],$B40,Agosto_2024[EGRESO])</f>
        <v>0</v>
      </c>
      <c r="K40" s="5">
        <f>SUMIF(Septiembre_2024[CATEGORÍA],$B40,Septiembre_2024[EGRESO])</f>
        <v>0</v>
      </c>
      <c r="L40" s="5">
        <f>SUMIF(Octubre_2024[CATEGORÍA],$B40,Octubre_2024[EGRESO])</f>
        <v>0</v>
      </c>
      <c r="M40" s="5">
        <f>SUMIF(Noviembre_2024[CATEGORÍA],$B40,Noviembre_2024[EGRESO])</f>
        <v>0</v>
      </c>
      <c r="N40" s="5">
        <f>SUMIF(Diciembre_2024[CATEGORÍA],$B40,Diciembre_2024[EGRESO])</f>
        <v>0</v>
      </c>
      <c r="O40" s="12">
        <f t="shared" ref="O40:O55" si="11">SUM(D40:N40)</f>
        <v>0</v>
      </c>
    </row>
    <row r="41" spans="2:15" s="3" customFormat="1" ht="14.1" customHeight="1" x14ac:dyDescent="0.25">
      <c r="B41" s="9" t="s">
        <v>48</v>
      </c>
      <c r="C41" s="5">
        <f>SUMIF(Enero_2024[CATEGORÍA],$B41,Enero_2024[EGRESO])</f>
        <v>2600</v>
      </c>
      <c r="D41" s="5">
        <f>SUMIF(Febrero_2024[CATEGORÍA],$B41,Febrero_2024[EGRESO])</f>
        <v>3200</v>
      </c>
      <c r="E41" s="5">
        <f>SUMIF(Marzo_2024[CATEGORÍA],$B41,Marzo_2024[EGRESO])</f>
        <v>4400</v>
      </c>
      <c r="F41" s="5">
        <f>SUMIF(Abril_2024[CATEGORÍA],$B41,Abril_2024[EGRESO])</f>
        <v>3200</v>
      </c>
      <c r="G41" s="5">
        <f>SUMIF(Mayo_2024[CATEGORÍA],$B41,Mayo_2024[EGRESO])</f>
        <v>3200</v>
      </c>
      <c r="H41" s="5">
        <f>SUMIF(Junio_2024[CATEGORÍA],$B41,Junio_2024[EGRESO])</f>
        <v>3000</v>
      </c>
      <c r="I41" s="5">
        <f>SUMIF(Julio_2024[CATEGORÍA],$B41,Julio_2024[EGRESO])</f>
        <v>3200</v>
      </c>
      <c r="J41" s="5">
        <f>SUMIF(Agosto_2024[CATEGORÍA],$B41,Agosto_2024[EGRESO])</f>
        <v>4800</v>
      </c>
      <c r="K41" s="5">
        <f>SUMIF(Septiembre_2024[CATEGORÍA],$B41,Septiembre_2024[EGRESO])</f>
        <v>3200</v>
      </c>
      <c r="L41" s="5">
        <f>SUMIF(Octubre_2024[CATEGORÍA],$B41,Octubre_2024[EGRESO])</f>
        <v>0</v>
      </c>
      <c r="M41" s="5">
        <f>SUMIF(Noviembre_2024[CATEGORÍA],$B41,Noviembre_2024[EGRESO])</f>
        <v>0</v>
      </c>
      <c r="N41" s="5">
        <f>SUMIF(Diciembre_2024[CATEGORÍA],$B41,Diciembre_2024[EGRESO])</f>
        <v>0</v>
      </c>
      <c r="O41" s="12">
        <f t="shared" si="11"/>
        <v>28200</v>
      </c>
    </row>
    <row r="42" spans="2:15" s="3" customFormat="1" ht="14.1" customHeight="1" x14ac:dyDescent="0.25">
      <c r="B42" s="9" t="s">
        <v>33</v>
      </c>
      <c r="C42" s="5">
        <f>SUMIF(Enero_2024[CATEGORÍA],$B42,Enero_2024[EGRESO])</f>
        <v>0</v>
      </c>
      <c r="D42" s="5">
        <f>SUMIF(Febrero_2024[CATEGORÍA],$B42,Febrero_2024[EGRESO])</f>
        <v>0</v>
      </c>
      <c r="E42" s="5">
        <f>SUMIF(Marzo_2024[CATEGORÍA],$B42,Marzo_2024[EGRESO])</f>
        <v>0</v>
      </c>
      <c r="F42" s="5">
        <f>SUMIF(Abril_2024[CATEGORÍA],$B42,Abril_2024[EGRESO])</f>
        <v>0</v>
      </c>
      <c r="G42" s="5">
        <f>SUMIF(Mayo_2024[CATEGORÍA],$B42,Mayo_2024[EGRESO])</f>
        <v>0</v>
      </c>
      <c r="H42" s="5">
        <f>SUMIF(Junio_2024[CATEGORÍA],$B42,Junio_2024[EGRESO])</f>
        <v>0</v>
      </c>
      <c r="I42" s="5">
        <f>SUMIF(Julio_2024[CATEGORÍA],$B42,Julio_2024[EGRESO])</f>
        <v>0</v>
      </c>
      <c r="J42" s="5">
        <f>SUMIF(Agosto_2024[CATEGORÍA],$B42,Agosto_2024[EGRESO])</f>
        <v>0</v>
      </c>
      <c r="K42" s="5">
        <f>SUMIF(Septiembre_2024[CATEGORÍA],$B42,Septiembre_2024[EGRESO])</f>
        <v>0</v>
      </c>
      <c r="L42" s="5">
        <f>SUMIF(Octubre_2024[CATEGORÍA],$B42,Octubre_2024[EGRESO])</f>
        <v>0</v>
      </c>
      <c r="M42" s="5">
        <f>SUMIF(Noviembre_2024[CATEGORÍA],$B42,Noviembre_2024[EGRESO])</f>
        <v>0</v>
      </c>
      <c r="N42" s="5">
        <f>SUMIF(Diciembre_2024[CATEGORÍA],$B42,Diciembre_2024[EGRESO])</f>
        <v>0</v>
      </c>
      <c r="O42" s="12">
        <f t="shared" si="11"/>
        <v>0</v>
      </c>
    </row>
    <row r="43" spans="2:15" s="3" customFormat="1" ht="14.1" customHeight="1" x14ac:dyDescent="0.25">
      <c r="B43" s="9" t="s">
        <v>117</v>
      </c>
      <c r="C43" s="5">
        <f>SUMIF(Enero_2024[CATEGORÍA],$B43,Enero_2024[EGRESO])</f>
        <v>0</v>
      </c>
      <c r="D43" s="5">
        <f>SUMIF(Febrero_2024[CATEGORÍA],$B43,Febrero_2024[EGRESO])</f>
        <v>0</v>
      </c>
      <c r="E43" s="5">
        <f>SUMIF(Marzo_2024[CATEGORÍA],$B43,Marzo_2024[EGRESO])</f>
        <v>0</v>
      </c>
      <c r="F43" s="5">
        <f>SUMIF(Abril_2024[CATEGORÍA],$B43,Abril_2024[EGRESO])</f>
        <v>0</v>
      </c>
      <c r="G43" s="5">
        <f>SUMIF(Mayo_2024[CATEGORÍA],$B43,Mayo_2024[EGRESO])</f>
        <v>0</v>
      </c>
      <c r="H43" s="5">
        <f>SUMIF(Junio_2024[CATEGORÍA],$B43,Junio_2024[EGRESO])</f>
        <v>0</v>
      </c>
      <c r="I43" s="5">
        <f>SUMIF(Julio_2024[CATEGORÍA],$B43,Julio_2024[EGRESO])</f>
        <v>0</v>
      </c>
      <c r="J43" s="5">
        <f>SUMIF(Agosto_2024[CATEGORÍA],$B43,Agosto_2024[EGRESO])</f>
        <v>0</v>
      </c>
      <c r="K43" s="5">
        <f>SUMIF(Septiembre_2024[CATEGORÍA],$B43,Septiembre_2024[EGRESO])</f>
        <v>0</v>
      </c>
      <c r="L43" s="5">
        <f>SUMIF(Octubre_2024[CATEGORÍA],$B43,Octubre_2024[EGRESO])</f>
        <v>68</v>
      </c>
      <c r="M43" s="5">
        <f>SUMIF(Noviembre_2024[CATEGORÍA],$B43,Noviembre_2024[EGRESO])</f>
        <v>0</v>
      </c>
      <c r="N43" s="5">
        <f>SUMIF(Diciembre_2024[CATEGORÍA],$B43,Diciembre_2024[EGRESO])</f>
        <v>0</v>
      </c>
      <c r="O43" s="12">
        <f t="shared" ref="O43" si="12">SUM(D43:N43)</f>
        <v>68</v>
      </c>
    </row>
    <row r="44" spans="2:15" s="3" customFormat="1" ht="14.1" customHeight="1" x14ac:dyDescent="0.25">
      <c r="B44" s="9" t="s">
        <v>95</v>
      </c>
      <c r="C44" s="5">
        <f>SUMIF(Enero_2024[CATEGORÍA],$B44,Enero_2024[EGRESO])</f>
        <v>0</v>
      </c>
      <c r="D44" s="5">
        <f>SUMIF(Febrero_2024[CATEGORÍA],$B44,Febrero_2024[EGRESO])</f>
        <v>0</v>
      </c>
      <c r="E44" s="5">
        <f>SUMIF(Marzo_2024[CATEGORÍA],$B44,Marzo_2024[EGRESO])</f>
        <v>0</v>
      </c>
      <c r="F44" s="5">
        <f>SUMIF(Abril_2024[CATEGORÍA],$B44,Abril_2024[EGRESO])</f>
        <v>0</v>
      </c>
      <c r="G44" s="5">
        <f>SUMIF(Mayo_2024[CATEGORÍA],$B44,Mayo_2024[EGRESO])</f>
        <v>0</v>
      </c>
      <c r="H44" s="5">
        <f>SUMIF(Junio_2024[CATEGORÍA],$B44,Junio_2024[EGRESO])</f>
        <v>0</v>
      </c>
      <c r="I44" s="5">
        <f>SUMIF(Julio_2024[CATEGORÍA],$B44,Julio_2024[EGRESO])</f>
        <v>0</v>
      </c>
      <c r="J44" s="5">
        <f>SUMIF(Agosto_2024[CATEGORÍA],$B44,Agosto_2024[EGRESO])</f>
        <v>0</v>
      </c>
      <c r="K44" s="5">
        <f>SUMIF(Septiembre_2024[CATEGORÍA],$B44,Septiembre_2024[EGRESO])</f>
        <v>0</v>
      </c>
      <c r="L44" s="5">
        <f>SUMIF(Octubre_2024[CATEGORÍA],$B44,Octubre_2024[EGRESO])</f>
        <v>0</v>
      </c>
      <c r="M44" s="5">
        <f>SUMIF(Noviembre_2024[CATEGORÍA],$B44,Noviembre_2024[EGRESO])</f>
        <v>0</v>
      </c>
      <c r="N44" s="5">
        <f>SUMIF(Diciembre_2024[CATEGORÍA],$B44,Diciembre_2024[EGRESO])</f>
        <v>0</v>
      </c>
      <c r="O44" s="12">
        <f t="shared" ref="O44" si="13">SUM(D44:N44)</f>
        <v>0</v>
      </c>
    </row>
    <row r="45" spans="2:15" s="3" customFormat="1" ht="14.1" customHeight="1" x14ac:dyDescent="0.25">
      <c r="B45" s="9" t="s">
        <v>34</v>
      </c>
      <c r="C45" s="5">
        <f>SUMIF(Enero_2024[CATEGORÍA],$B45,Enero_2024[EGRESO])</f>
        <v>0</v>
      </c>
      <c r="D45" s="5">
        <f>SUMIF(Febrero_2024[CATEGORÍA],$B45,Febrero_2024[EGRESO])</f>
        <v>0</v>
      </c>
      <c r="E45" s="5">
        <f>SUMIF(Marzo_2024[CATEGORÍA],$B45,Marzo_2024[EGRESO])</f>
        <v>0</v>
      </c>
      <c r="F45" s="5">
        <f>SUMIF(Abril_2024[CATEGORÍA],$B45,Abril_2024[EGRESO])</f>
        <v>0</v>
      </c>
      <c r="G45" s="5">
        <f>SUMIF(Mayo_2024[CATEGORÍA],$B45,Mayo_2024[EGRESO])</f>
        <v>0</v>
      </c>
      <c r="H45" s="5">
        <f>SUMIF(Junio_2024[CATEGORÍA],$B45,Junio_2024[EGRESO])</f>
        <v>0</v>
      </c>
      <c r="I45" s="5">
        <f>SUMIF(Julio_2024[CATEGORÍA],$B45,Julio_2024[EGRESO])</f>
        <v>0</v>
      </c>
      <c r="J45" s="5">
        <f>SUMIF(Agosto_2024[CATEGORÍA],$B45,Agosto_2024[EGRESO])</f>
        <v>0</v>
      </c>
      <c r="K45" s="5">
        <f>SUMIF(Septiembre_2024[CATEGORÍA],$B45,Septiembre_2024[EGRESO])</f>
        <v>0</v>
      </c>
      <c r="L45" s="5">
        <f>SUMIF(Octubre_2024[CATEGORÍA],$B45,Octubre_2024[EGRESO])</f>
        <v>0</v>
      </c>
      <c r="M45" s="5">
        <f>SUMIF(Noviembre_2024[CATEGORÍA],$B45,Noviembre_2024[EGRESO])</f>
        <v>0</v>
      </c>
      <c r="N45" s="5">
        <f>SUMIF(Diciembre_2024[CATEGORÍA],$B45,Diciembre_2024[EGRESO])</f>
        <v>0</v>
      </c>
      <c r="O45" s="12">
        <f t="shared" si="11"/>
        <v>0</v>
      </c>
    </row>
    <row r="46" spans="2:15" s="3" customFormat="1" ht="14.1" customHeight="1" x14ac:dyDescent="0.25">
      <c r="B46" s="9" t="s">
        <v>82</v>
      </c>
      <c r="C46" s="5">
        <f>SUMIF(Enero_2024[CATEGORÍA],$B46,Enero_2024[EGRESO])</f>
        <v>0</v>
      </c>
      <c r="D46" s="5">
        <f>SUMIF(Febrero_2024[CATEGORÍA],$B46,Febrero_2024[EGRESO])</f>
        <v>0</v>
      </c>
      <c r="E46" s="5">
        <f>SUMIF(Marzo_2024[CATEGORÍA],$B46,Marzo_2024[EGRESO])</f>
        <v>0</v>
      </c>
      <c r="F46" s="5">
        <f>SUMIF(Abril_2024[CATEGORÍA],$B46,Abril_2024[EGRESO])</f>
        <v>0</v>
      </c>
      <c r="G46" s="5">
        <f>SUMIF(Mayo_2024[CATEGORÍA],$B46,Mayo_2024[EGRESO])</f>
        <v>0</v>
      </c>
      <c r="H46" s="5">
        <f>SUMIF(Junio_2024[CATEGORÍA],$B46,Junio_2024[EGRESO])</f>
        <v>0</v>
      </c>
      <c r="I46" s="5">
        <f>SUMIF(Julio_2024[CATEGORÍA],$B46,Julio_2024[EGRESO])</f>
        <v>0</v>
      </c>
      <c r="J46" s="5">
        <f>SUMIF(Agosto_2024[CATEGORÍA],$B46,Agosto_2024[EGRESO])</f>
        <v>0</v>
      </c>
      <c r="K46" s="5">
        <f>SUMIF(Septiembre_2024[CATEGORÍA],$B46,Septiembre_2024[EGRESO])</f>
        <v>0</v>
      </c>
      <c r="L46" s="5">
        <f>SUMIF(Octubre_2024[CATEGORÍA],$B46,Octubre_2024[EGRESO])</f>
        <v>0</v>
      </c>
      <c r="M46" s="5">
        <f>SUMIF(Noviembre_2024[CATEGORÍA],$B46,Noviembre_2024[EGRESO])</f>
        <v>0</v>
      </c>
      <c r="N46" s="5">
        <f>SUMIF(Diciembre_2024[CATEGORÍA],$B46,Diciembre_2024[EGRESO])</f>
        <v>0</v>
      </c>
      <c r="O46" s="12">
        <f t="shared" si="11"/>
        <v>0</v>
      </c>
    </row>
    <row r="47" spans="2:15" s="3" customFormat="1" ht="14.1" customHeight="1" x14ac:dyDescent="0.25">
      <c r="B47" s="9" t="s">
        <v>112</v>
      </c>
      <c r="C47" s="5">
        <f>SUMIF(Enero_2024[CATEGORÍA],$B47,Enero_2024[EGRESO])</f>
        <v>0</v>
      </c>
      <c r="D47" s="5">
        <f>SUMIF(Febrero_2024[CATEGORÍA],$B47,Febrero_2024[EGRESO])</f>
        <v>0</v>
      </c>
      <c r="E47" s="5">
        <f>SUMIF(Marzo_2024[CATEGORÍA],$B47,Marzo_2024[EGRESO])</f>
        <v>0</v>
      </c>
      <c r="F47" s="5">
        <f>SUMIF(Abril_2024[CATEGORÍA],$B47,Abril_2024[EGRESO])</f>
        <v>0</v>
      </c>
      <c r="G47" s="5">
        <f>SUMIF(Mayo_2024[CATEGORÍA],$B47,Mayo_2024[EGRESO])</f>
        <v>0</v>
      </c>
      <c r="H47" s="5">
        <f>SUMIF(Junio_2024[CATEGORÍA],$B47,Junio_2024[EGRESO])</f>
        <v>0</v>
      </c>
      <c r="I47" s="5">
        <f>SUMIF(Julio_2024[CATEGORÍA],$B47,Julio_2024[EGRESO])</f>
        <v>0</v>
      </c>
      <c r="J47" s="5">
        <f>SUMIF(Agosto_2024[CATEGORÍA],$B47,Agosto_2024[EGRESO])</f>
        <v>0</v>
      </c>
      <c r="K47" s="5">
        <f>SUMIF(Septiembre_2024[CATEGORÍA],$B47,Septiembre_2024[EGRESO])</f>
        <v>0</v>
      </c>
      <c r="L47" s="5">
        <f>SUMIF(Octubre_2024[CATEGORÍA],$B47,Octubre_2024[EGRESO])</f>
        <v>0</v>
      </c>
      <c r="M47" s="5">
        <f>SUMIF(Noviembre_2024[CATEGORÍA],$B47,Noviembre_2024[EGRESO])</f>
        <v>0</v>
      </c>
      <c r="N47" s="5">
        <f>SUMIF(Diciembre_2024[CATEGORÍA],$B47,Diciembre_2024[EGRESO])</f>
        <v>0</v>
      </c>
      <c r="O47" s="12">
        <f t="shared" ref="O47:O49" si="14">SUM(D47:N47)</f>
        <v>0</v>
      </c>
    </row>
    <row r="48" spans="2:15" s="3" customFormat="1" ht="14.1" customHeight="1" x14ac:dyDescent="0.25">
      <c r="B48" s="9" t="s">
        <v>113</v>
      </c>
      <c r="C48" s="5">
        <f>SUMIF(Enero_2024[CATEGORÍA],$B48,Enero_2024[EGRESO])</f>
        <v>0</v>
      </c>
      <c r="D48" s="5">
        <f>SUMIF(Febrero_2024[CATEGORÍA],$B48,Febrero_2024[EGRESO])</f>
        <v>0</v>
      </c>
      <c r="E48" s="5">
        <f>SUMIF(Marzo_2024[CATEGORÍA],$B48,Marzo_2024[EGRESO])</f>
        <v>0</v>
      </c>
      <c r="F48" s="5">
        <f>SUMIF(Abril_2024[CATEGORÍA],$B48,Abril_2024[EGRESO])</f>
        <v>0</v>
      </c>
      <c r="G48" s="5">
        <f>SUMIF(Mayo_2024[CATEGORÍA],$B48,Mayo_2024[EGRESO])</f>
        <v>0</v>
      </c>
      <c r="H48" s="5">
        <f>SUMIF(Junio_2024[CATEGORÍA],$B48,Junio_2024[EGRESO])</f>
        <v>0</v>
      </c>
      <c r="I48" s="5">
        <f>SUMIF(Julio_2024[CATEGORÍA],$B48,Julio_2024[EGRESO])</f>
        <v>0</v>
      </c>
      <c r="J48" s="5">
        <f>SUMIF(Agosto_2024[CATEGORÍA],$B48,Agosto_2024[EGRESO])</f>
        <v>0</v>
      </c>
      <c r="K48" s="5">
        <f>SUMIF(Septiembre_2024[CATEGORÍA],$B48,Septiembre_2024[EGRESO])</f>
        <v>0</v>
      </c>
      <c r="L48" s="5">
        <f>SUMIF(Octubre_2024[CATEGORÍA],$B48,Octubre_2024[EGRESO])</f>
        <v>0</v>
      </c>
      <c r="M48" s="5">
        <f>SUMIF(Noviembre_2024[CATEGORÍA],$B48,Noviembre_2024[EGRESO])</f>
        <v>0</v>
      </c>
      <c r="N48" s="5">
        <f>SUMIF(Diciembre_2024[CATEGORÍA],$B48,Diciembre_2024[EGRESO])</f>
        <v>0</v>
      </c>
      <c r="O48" s="12">
        <f t="shared" si="14"/>
        <v>0</v>
      </c>
    </row>
    <row r="49" spans="2:15" s="3" customFormat="1" ht="14.1" customHeight="1" x14ac:dyDescent="0.25">
      <c r="B49" s="9" t="s">
        <v>111</v>
      </c>
      <c r="C49" s="5">
        <f>SUMIF(Enero_2024[CATEGORÍA],$B49,Enero_2024[EGRESO])</f>
        <v>0</v>
      </c>
      <c r="D49" s="5">
        <f>SUMIF(Febrero_2024[CATEGORÍA],$B49,Febrero_2024[EGRESO])</f>
        <v>0</v>
      </c>
      <c r="E49" s="5">
        <f>SUMIF(Marzo_2024[CATEGORÍA],$B49,Marzo_2024[EGRESO])</f>
        <v>0</v>
      </c>
      <c r="F49" s="5">
        <f>SUMIF(Abril_2024[CATEGORÍA],$B49,Abril_2024[EGRESO])</f>
        <v>0</v>
      </c>
      <c r="G49" s="5">
        <f>SUMIF(Mayo_2024[CATEGORÍA],$B49,Mayo_2024[EGRESO])</f>
        <v>0</v>
      </c>
      <c r="H49" s="5">
        <f>SUMIF(Junio_2024[CATEGORÍA],$B49,Junio_2024[EGRESO])</f>
        <v>0</v>
      </c>
      <c r="I49" s="5">
        <f>SUMIF(Julio_2024[CATEGORÍA],$B49,Julio_2024[EGRESO])</f>
        <v>0</v>
      </c>
      <c r="J49" s="5">
        <f>SUMIF(Agosto_2024[CATEGORÍA],$B49,Agosto_2024[EGRESO])</f>
        <v>0</v>
      </c>
      <c r="K49" s="5">
        <f>SUMIF(Septiembre_2024[CATEGORÍA],$B49,Septiembre_2024[EGRESO])</f>
        <v>0</v>
      </c>
      <c r="L49" s="5">
        <f>SUMIF(Octubre_2024[CATEGORÍA],$B49,Octubre_2024[EGRESO])</f>
        <v>0</v>
      </c>
      <c r="M49" s="5">
        <f>SUMIF(Noviembre_2024[CATEGORÍA],$B49,Noviembre_2024[EGRESO])</f>
        <v>0</v>
      </c>
      <c r="N49" s="5">
        <f>SUMIF(Diciembre_2024[CATEGORÍA],$B49,Diciembre_2024[EGRESO])</f>
        <v>0</v>
      </c>
      <c r="O49" s="12">
        <f t="shared" si="14"/>
        <v>0</v>
      </c>
    </row>
    <row r="50" spans="2:15" s="3" customFormat="1" ht="14.1" customHeight="1" x14ac:dyDescent="0.25">
      <c r="B50" s="9" t="s">
        <v>35</v>
      </c>
      <c r="C50" s="5">
        <f>SUMIF(Enero_2024[CATEGORÍA],$B50,Enero_2024[EGRESO])</f>
        <v>0</v>
      </c>
      <c r="D50" s="5">
        <f>SUMIF(Febrero_2024[CATEGORÍA],$B50,Febrero_2024[EGRESO])</f>
        <v>0</v>
      </c>
      <c r="E50" s="5">
        <f>SUMIF(Marzo_2024[CATEGORÍA],$B50,Marzo_2024[EGRESO])</f>
        <v>0</v>
      </c>
      <c r="F50" s="5">
        <f>SUMIF(Abril_2024[CATEGORÍA],$B50,Abril_2024[EGRESO])</f>
        <v>0</v>
      </c>
      <c r="G50" s="5">
        <f>SUMIF(Mayo_2024[CATEGORÍA],$B50,Mayo_2024[EGRESO])</f>
        <v>0</v>
      </c>
      <c r="H50" s="5">
        <f>SUMIF(Junio_2024[CATEGORÍA],$B50,Junio_2024[EGRESO])</f>
        <v>0</v>
      </c>
      <c r="I50" s="5">
        <f>SUMIF(Julio_2024[CATEGORÍA],$B50,Julio_2024[EGRESO])</f>
        <v>400</v>
      </c>
      <c r="J50" s="5">
        <f>SUMIF(Agosto_2024[CATEGORÍA],$B50,Agosto_2024[EGRESO])</f>
        <v>0</v>
      </c>
      <c r="K50" s="5">
        <f>SUMIF(Septiembre_2024[CATEGORÍA],$B50,Septiembre_2024[EGRESO])</f>
        <v>0</v>
      </c>
      <c r="L50" s="5">
        <f>SUMIF(Octubre_2024[CATEGORÍA],$B50,Octubre_2024[EGRESO])</f>
        <v>0</v>
      </c>
      <c r="M50" s="5">
        <f>SUMIF(Noviembre_2024[CATEGORÍA],$B50,Noviembre_2024[EGRESO])</f>
        <v>0</v>
      </c>
      <c r="N50" s="5">
        <f>SUMIF(Diciembre_2024[CATEGORÍA],$B50,Diciembre_2024[EGRESO])</f>
        <v>0</v>
      </c>
      <c r="O50" s="12">
        <f t="shared" si="11"/>
        <v>400</v>
      </c>
    </row>
    <row r="51" spans="2:15" s="3" customFormat="1" ht="14.1" customHeight="1" x14ac:dyDescent="0.25">
      <c r="B51" s="9" t="s">
        <v>36</v>
      </c>
      <c r="C51" s="5">
        <f>SUMIF(Enero_2024[CATEGORÍA],$B51,Enero_2024[EGRESO])</f>
        <v>0</v>
      </c>
      <c r="D51" s="5">
        <f>SUMIF(Febrero_2024[CATEGORÍA],$B51,Febrero_2024[EGRESO])</f>
        <v>0</v>
      </c>
      <c r="E51" s="5">
        <f>SUMIF(Marzo_2024[CATEGORÍA],$B51,Marzo_2024[EGRESO])</f>
        <v>815</v>
      </c>
      <c r="F51" s="5">
        <f>SUMIF(Abril_2024[CATEGORÍA],$B51,Abril_2024[EGRESO])</f>
        <v>200</v>
      </c>
      <c r="G51" s="5">
        <f>SUMIF(Mayo_2024[CATEGORÍA],$B51,Mayo_2024[EGRESO])</f>
        <v>110</v>
      </c>
      <c r="H51" s="5">
        <f>SUMIF(Junio_2024[CATEGORÍA],$B51,Junio_2024[EGRESO])</f>
        <v>110</v>
      </c>
      <c r="I51" s="5">
        <f>SUMIF(Julio_2024[CATEGORÍA],$B51,Julio_2024[EGRESO])</f>
        <v>55</v>
      </c>
      <c r="J51" s="5">
        <f>SUMIF(Agosto_2024[CATEGORÍA],$B51,Agosto_2024[EGRESO])</f>
        <v>5940</v>
      </c>
      <c r="K51" s="5">
        <f>SUMIF(Septiembre_2024[CATEGORÍA],$B51,Septiembre_2024[EGRESO])</f>
        <v>250</v>
      </c>
      <c r="L51" s="5">
        <f>SUMIF(Octubre_2024[CATEGORÍA],$B51,Octubre_2024[EGRESO])</f>
        <v>0</v>
      </c>
      <c r="M51" s="5">
        <f>SUMIF(Noviembre_2024[CATEGORÍA],$B51,Noviembre_2024[EGRESO])</f>
        <v>0</v>
      </c>
      <c r="N51" s="5">
        <f>SUMIF(Diciembre_2024[CATEGORÍA],$B51,Diciembre_2024[EGRESO])</f>
        <v>0</v>
      </c>
      <c r="O51" s="12">
        <f t="shared" si="11"/>
        <v>7480</v>
      </c>
    </row>
    <row r="52" spans="2:15" s="3" customFormat="1" ht="14.1" customHeight="1" x14ac:dyDescent="0.25">
      <c r="B52" s="9" t="s">
        <v>37</v>
      </c>
      <c r="C52" s="5">
        <f>SUMIF(Enero_2024[CATEGORÍA],$B52,Enero_2024[EGRESO])</f>
        <v>0</v>
      </c>
      <c r="D52" s="5">
        <f>SUMIF(Febrero_2024[CATEGORÍA],$B52,Febrero_2024[EGRESO])</f>
        <v>918.5</v>
      </c>
      <c r="E52" s="5">
        <f>SUMIF(Marzo_2024[CATEGORÍA],$B52,Marzo_2024[EGRESO])</f>
        <v>826</v>
      </c>
      <c r="F52" s="5">
        <f>SUMIF(Abril_2024[CATEGORÍA],$B52,Abril_2024[EGRESO])</f>
        <v>0</v>
      </c>
      <c r="G52" s="5">
        <f>SUMIF(Mayo_2024[CATEGORÍA],$B52,Mayo_2024[EGRESO])</f>
        <v>0</v>
      </c>
      <c r="H52" s="5">
        <f>SUMIF(Junio_2024[CATEGORÍA],$B52,Junio_2024[EGRESO])</f>
        <v>499</v>
      </c>
      <c r="I52" s="5">
        <f>SUMIF(Julio_2024[CATEGORÍA],$B52,Julio_2024[EGRESO])</f>
        <v>1837.5</v>
      </c>
      <c r="J52" s="5">
        <f>SUMIF(Agosto_2024[CATEGORÍA],$B52,Agosto_2024[EGRESO])</f>
        <v>13550</v>
      </c>
      <c r="K52" s="5">
        <f>SUMIF(Septiembre_2024[CATEGORÍA],$B52,Septiembre_2024[EGRESO])</f>
        <v>0</v>
      </c>
      <c r="L52" s="5">
        <f>SUMIF(Octubre_2024[CATEGORÍA],$B52,Octubre_2024[EGRESO])</f>
        <v>0</v>
      </c>
      <c r="M52" s="5">
        <f>SUMIF(Noviembre_2024[CATEGORÍA],$B52,Noviembre_2024[EGRESO])</f>
        <v>0</v>
      </c>
      <c r="N52" s="5">
        <f>SUMIF(Diciembre_2024[CATEGORÍA],$B52,Diciembre_2024[EGRESO])</f>
        <v>0</v>
      </c>
      <c r="O52" s="12">
        <f t="shared" si="11"/>
        <v>17631</v>
      </c>
    </row>
    <row r="53" spans="2:15" s="3" customFormat="1" ht="14.1" customHeight="1" x14ac:dyDescent="0.25">
      <c r="B53" s="9" t="s">
        <v>38</v>
      </c>
      <c r="C53" s="5">
        <f>SUMIF(Enero_2024[CATEGORÍA],$B53,Enero_2024[EGRESO])</f>
        <v>0</v>
      </c>
      <c r="D53" s="5">
        <f>SUMIF(Febrero_2024[CATEGORÍA],$B53,Febrero_2024[EGRESO])</f>
        <v>0</v>
      </c>
      <c r="E53" s="5">
        <f>SUMIF(Marzo_2024[CATEGORÍA],$B53,Marzo_2024[EGRESO])</f>
        <v>0</v>
      </c>
      <c r="F53" s="5">
        <f>SUMIF(Abril_2024[CATEGORÍA],$B53,Abril_2024[EGRESO])</f>
        <v>0</v>
      </c>
      <c r="G53" s="5">
        <f>SUMIF(Mayo_2024[CATEGORÍA],$B53,Mayo_2024[EGRESO])</f>
        <v>0</v>
      </c>
      <c r="H53" s="5">
        <f>SUMIF(Junio_2024[CATEGORÍA],$B53,Junio_2024[EGRESO])</f>
        <v>0</v>
      </c>
      <c r="I53" s="5">
        <f>SUMIF(Julio_2024[CATEGORÍA],$B53,Julio_2024[EGRESO])</f>
        <v>0</v>
      </c>
      <c r="J53" s="5">
        <f>SUMIF(Agosto_2024[CATEGORÍA],$B53,Agosto_2024[EGRESO])</f>
        <v>0</v>
      </c>
      <c r="K53" s="5">
        <f>SUMIF(Septiembre_2024[CATEGORÍA],$B53,Septiembre_2024[EGRESO])</f>
        <v>0</v>
      </c>
      <c r="L53" s="5">
        <f>SUMIF(Octubre_2024[CATEGORÍA],$B53,Octubre_2024[EGRESO])</f>
        <v>0</v>
      </c>
      <c r="M53" s="5">
        <f>SUMIF(Noviembre_2024[CATEGORÍA],$B53,Noviembre_2024[EGRESO])</f>
        <v>0</v>
      </c>
      <c r="N53" s="5">
        <f>SUMIF(Diciembre_2024[CATEGORÍA],$B53,Diciembre_2024[EGRESO])</f>
        <v>0</v>
      </c>
      <c r="O53" s="12">
        <f t="shared" si="11"/>
        <v>0</v>
      </c>
    </row>
    <row r="54" spans="2:15" s="3" customFormat="1" ht="14.1" customHeight="1" x14ac:dyDescent="0.25">
      <c r="B54" s="9" t="s">
        <v>44</v>
      </c>
      <c r="C54" s="5">
        <f>SUMIF(Enero_2024[CATEGORÍA],$B54,Enero_2024[EGRESO])</f>
        <v>0</v>
      </c>
      <c r="D54" s="5">
        <f>SUMIF(Febrero_2024[CATEGORÍA],$B54,Febrero_2024[EGRESO])</f>
        <v>0</v>
      </c>
      <c r="E54" s="5">
        <f>SUMIF(Marzo_2024[CATEGORÍA],$B54,Marzo_2024[EGRESO])</f>
        <v>0</v>
      </c>
      <c r="F54" s="5">
        <f>SUMIF(Abril_2024[CATEGORÍA],$B54,Abril_2024[EGRESO])</f>
        <v>0</v>
      </c>
      <c r="G54" s="5">
        <f>SUMIF(Mayo_2024[CATEGORÍA],$B54,Mayo_2024[EGRESO])</f>
        <v>0</v>
      </c>
      <c r="H54" s="5">
        <f>SUMIF(Junio_2024[CATEGORÍA],$B54,Junio_2024[EGRESO])</f>
        <v>0</v>
      </c>
      <c r="I54" s="5">
        <f>SUMIF(Julio_2024[CATEGORÍA],$B54,Julio_2024[EGRESO])</f>
        <v>0</v>
      </c>
      <c r="J54" s="5">
        <f>SUMIF(Agosto_2024[CATEGORÍA],$B54,Agosto_2024[EGRESO])</f>
        <v>0</v>
      </c>
      <c r="K54" s="5">
        <f>SUMIF(Septiembre_2024[CATEGORÍA],$B54,Septiembre_2024[EGRESO])</f>
        <v>0</v>
      </c>
      <c r="L54" s="5">
        <f>SUMIF(Octubre_2024[CATEGORÍA],$B54,Octubre_2024[EGRESO])</f>
        <v>0</v>
      </c>
      <c r="M54" s="5">
        <f>SUMIF(Noviembre_2024[CATEGORÍA],$B54,Noviembre_2024[EGRESO])</f>
        <v>0</v>
      </c>
      <c r="N54" s="5">
        <f>SUMIF(Diciembre_2024[CATEGORÍA],$B54,Diciembre_2024[EGRESO])</f>
        <v>0</v>
      </c>
      <c r="O54" s="12">
        <f t="shared" si="11"/>
        <v>0</v>
      </c>
    </row>
    <row r="55" spans="2:15" s="3" customFormat="1" ht="14.1" customHeight="1" x14ac:dyDescent="0.25">
      <c r="B55" s="9" t="s">
        <v>85</v>
      </c>
      <c r="C55" s="5">
        <f>SUMIF(Enero_2024[CATEGORÍA],$B55,Enero_2024[EGRESO])</f>
        <v>356.666666666666</v>
      </c>
      <c r="D55" s="5">
        <f>SUMIF(Febrero_2024[CATEGORÍA],$B55,Febrero_2024[EGRESO])</f>
        <v>0</v>
      </c>
      <c r="E55" s="5">
        <f>SUMIF(Marzo_2024[CATEGORÍA],$B55,Marzo_2024[EGRESO])</f>
        <v>0</v>
      </c>
      <c r="F55" s="5">
        <f>SUMIF(Abril_2024[CATEGORÍA],$B55,Abril_2024[EGRESO])</f>
        <v>0</v>
      </c>
      <c r="G55" s="5">
        <f>SUMIF(Mayo_2024[CATEGORÍA],$B55,Mayo_2024[EGRESO])</f>
        <v>0</v>
      </c>
      <c r="H55" s="5">
        <f>SUMIF(Junio_2024[CATEGORÍA],$B55,Junio_2024[EGRESO])</f>
        <v>0</v>
      </c>
      <c r="I55" s="5">
        <f>SUMIF(Julio_2024[CATEGORÍA],$B55,Julio_2024[EGRESO])</f>
        <v>0</v>
      </c>
      <c r="J55" s="5">
        <f>SUMIF(Agosto_2024[CATEGORÍA],$B55,Agosto_2024[EGRESO])</f>
        <v>0</v>
      </c>
      <c r="K55" s="5">
        <f>SUMIF(Septiembre_2024[CATEGORÍA],$B55,Septiembre_2024[EGRESO])</f>
        <v>0</v>
      </c>
      <c r="L55" s="5">
        <f>SUMIF(Octubre_2024[CATEGORÍA],$B55,Octubre_2024[EGRESO])</f>
        <v>0</v>
      </c>
      <c r="M55" s="5">
        <f>SUMIF(Noviembre_2024[CATEGORÍA],$B55,Noviembre_2024[EGRESO])</f>
        <v>0</v>
      </c>
      <c r="N55" s="5">
        <f>SUMIF(Diciembre_2024[CATEGORÍA],$B55,Diciembre_2024[EGRESO])</f>
        <v>0</v>
      </c>
      <c r="O55" s="12">
        <f t="shared" si="11"/>
        <v>0</v>
      </c>
    </row>
    <row r="56" spans="2:15" s="3" customFormat="1" ht="14.1" customHeight="1" x14ac:dyDescent="0.25">
      <c r="B56" s="9"/>
      <c r="C56" s="19">
        <f>SUM(C38:C55)</f>
        <v>27422.379523809526</v>
      </c>
      <c r="D56" s="19">
        <f t="shared" ref="D56:O56" si="15">SUM(D38:D55)</f>
        <v>27818.5</v>
      </c>
      <c r="E56" s="19">
        <f>SUM(E38:E55)</f>
        <v>40991</v>
      </c>
      <c r="F56" s="19">
        <f t="shared" si="15"/>
        <v>26300</v>
      </c>
      <c r="G56" s="19">
        <f t="shared" si="15"/>
        <v>25410</v>
      </c>
      <c r="H56" s="19">
        <f t="shared" si="15"/>
        <v>25709</v>
      </c>
      <c r="I56" s="19">
        <f t="shared" si="15"/>
        <v>30592.5</v>
      </c>
      <c r="J56" s="19">
        <f t="shared" si="15"/>
        <v>62840</v>
      </c>
      <c r="K56" s="19">
        <f t="shared" si="15"/>
        <v>35549.999999999985</v>
      </c>
      <c r="L56" s="19">
        <f t="shared" si="15"/>
        <v>68</v>
      </c>
      <c r="M56" s="19">
        <f t="shared" si="15"/>
        <v>0</v>
      </c>
      <c r="N56" s="19">
        <f t="shared" si="15"/>
        <v>0</v>
      </c>
      <c r="O56" s="19">
        <f t="shared" si="15"/>
        <v>275279</v>
      </c>
    </row>
    <row r="57" spans="2:15" s="3" customFormat="1" ht="14.1" customHeight="1" x14ac:dyDescent="0.25">
      <c r="B57" s="18" t="s">
        <v>32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</row>
    <row r="58" spans="2:15" s="3" customFormat="1" ht="14.1" customHeight="1" x14ac:dyDescent="0.25">
      <c r="B58" s="9" t="s">
        <v>10</v>
      </c>
      <c r="C58" s="5">
        <f>SUMIF(Enero_2024[CATEGORÍA],$B58,Enero_2024[EGRESO])</f>
        <v>0</v>
      </c>
      <c r="D58" s="5">
        <f>SUMIF(Febrero_2024[CATEGORÍA],$B58,Febrero_2024[EGRESO])</f>
        <v>0</v>
      </c>
      <c r="E58" s="5">
        <f>SUMIF(Marzo_2024[CATEGORÍA],$B58,Marzo_2024[EGRESO])</f>
        <v>0</v>
      </c>
      <c r="F58" s="5">
        <f>SUMIF(Abril_2024[CATEGORÍA],$B58,Abril_2024[EGRESO])</f>
        <v>0</v>
      </c>
      <c r="G58" s="5">
        <f>SUMIF(Mayo_2024[CATEGORÍA],$B58,Mayo_2024[EGRESO])</f>
        <v>0</v>
      </c>
      <c r="H58" s="5">
        <f>SUMIF(Junio_2024[CATEGORÍA],$B58,Junio_2024[EGRESO])</f>
        <v>0</v>
      </c>
      <c r="I58" s="5">
        <f>SUMIF(Julio_2024[CATEGORÍA],$B58,Julio_2024[EGRESO])</f>
        <v>0</v>
      </c>
      <c r="J58" s="5">
        <f>SUMIF(Agosto_2024[CATEGORÍA],$B58,Agosto_2024[EGRESO])</f>
        <v>0</v>
      </c>
      <c r="K58" s="5">
        <f>SUMIF(Septiembre_2024[CATEGORÍA],$B58,Septiembre_2024[EGRESO])</f>
        <v>0</v>
      </c>
      <c r="L58" s="5">
        <f>SUMIF(Octubre_2024[CATEGORÍA],$B58,Octubre_2024[EGRESO])</f>
        <v>0</v>
      </c>
      <c r="M58" s="5">
        <f>SUMIF(Noviembre_2024[CATEGORÍA],$B58,Noviembre_2024[EGRESO])</f>
        <v>0</v>
      </c>
      <c r="N58" s="5">
        <f>SUMIF(Diciembre_2024[CATEGORÍA],$B58,Diciembre_2024[EGRESO])</f>
        <v>0</v>
      </c>
      <c r="O58" s="12">
        <f>SUM(D58:N58)</f>
        <v>0</v>
      </c>
    </row>
    <row r="59" spans="2:15" s="3" customFormat="1" ht="14.1" customHeight="1" x14ac:dyDescent="0.25">
      <c r="B59" s="9" t="s">
        <v>11</v>
      </c>
      <c r="C59" s="5">
        <f>SUMIF(Enero_2024[CATEGORÍA],$B59,Enero_2024[EGRESO])</f>
        <v>0</v>
      </c>
      <c r="D59" s="5">
        <f>SUMIF(Febrero_2024[CATEGORÍA],$B59,Febrero_2024[EGRESO])</f>
        <v>0</v>
      </c>
      <c r="E59" s="5">
        <f>SUMIF(Marzo_2024[CATEGORÍA],$B59,Marzo_2024[EGRESO])</f>
        <v>0</v>
      </c>
      <c r="F59" s="5">
        <f>SUMIF(Abril_2024[CATEGORÍA],$B59,Abril_2024[EGRESO])</f>
        <v>0</v>
      </c>
      <c r="G59" s="5">
        <f>SUMIF(Mayo_2024[CATEGORÍA],$B59,Mayo_2024[EGRESO])</f>
        <v>0</v>
      </c>
      <c r="H59" s="5">
        <f>SUMIF(Junio_2024[CATEGORÍA],$B59,Junio_2024[EGRESO])</f>
        <v>0</v>
      </c>
      <c r="I59" s="5">
        <f>SUMIF(Julio_2024[CATEGORÍA],$B59,Julio_2024[EGRESO])</f>
        <v>0</v>
      </c>
      <c r="J59" s="5">
        <f>SUMIF(Agosto_2024[CATEGORÍA],$B59,Agosto_2024[EGRESO])</f>
        <v>0</v>
      </c>
      <c r="K59" s="5">
        <f>SUMIF(Septiembre_2024[CATEGORÍA],$B59,Septiembre_2024[EGRESO])</f>
        <v>0</v>
      </c>
      <c r="L59" s="5">
        <f>SUMIF(Octubre_2024[CATEGORÍA],$B59,Octubre_2024[EGRESO])</f>
        <v>0</v>
      </c>
      <c r="M59" s="5">
        <f>SUMIF(Noviembre_2024[CATEGORÍA],$B59,Noviembre_2024[EGRESO])</f>
        <v>0</v>
      </c>
      <c r="N59" s="5">
        <f>SUMIF(Diciembre_2024[CATEGORÍA],$B59,Diciembre_2024[EGRESO])</f>
        <v>0</v>
      </c>
      <c r="O59" s="12">
        <f t="shared" ref="O59:O66" si="16">SUM(D59:N59)</f>
        <v>0</v>
      </c>
    </row>
    <row r="60" spans="2:15" s="3" customFormat="1" ht="14.1" customHeight="1" x14ac:dyDescent="0.25">
      <c r="B60" s="9" t="s">
        <v>105</v>
      </c>
      <c r="C60" s="5">
        <f>SUMIF(Enero_2024[CATEGORÍA],$B60,Enero_2024[EGRESO])</f>
        <v>0</v>
      </c>
      <c r="D60" s="5">
        <f>SUMIF(Febrero_2024[CATEGORÍA],$B60,Febrero_2024[EGRESO])</f>
        <v>0</v>
      </c>
      <c r="E60" s="5">
        <f>SUMIF(Marzo_2024[CATEGORÍA],$B60,Marzo_2024[EGRESO])</f>
        <v>0</v>
      </c>
      <c r="F60" s="5">
        <f>SUMIF(Abril_2024[CATEGORÍA],$B60,Abril_2024[EGRESO])</f>
        <v>0</v>
      </c>
      <c r="G60" s="5">
        <f>SUMIF(Mayo_2024[CATEGORÍA],$B60,Mayo_2024[EGRESO])</f>
        <v>50</v>
      </c>
      <c r="H60" s="5">
        <f>SUMIF(Junio_2024[CATEGORÍA],$B60,Junio_2024[EGRESO])</f>
        <v>0</v>
      </c>
      <c r="I60" s="5">
        <f>SUMIF(Julio_2024[CATEGORÍA],$B60,Julio_2024[EGRESO])</f>
        <v>0</v>
      </c>
      <c r="J60" s="5">
        <f>SUMIF(Agosto_2024[CATEGORÍA],$B60,Agosto_2024[EGRESO])</f>
        <v>0</v>
      </c>
      <c r="K60" s="5">
        <f>SUMIF(Septiembre_2024[CATEGORÍA],$B60,Septiembre_2024[EGRESO])</f>
        <v>78</v>
      </c>
      <c r="L60" s="5">
        <f>SUMIF(Octubre_2024[CATEGORÍA],$B60,Octubre_2024[EGRESO])</f>
        <v>0</v>
      </c>
      <c r="M60" s="5">
        <f>SUMIF(Noviembre_2024[CATEGORÍA],$B60,Noviembre_2024[EGRESO])</f>
        <v>0</v>
      </c>
      <c r="N60" s="5">
        <f>SUMIF(Diciembre_2024[CATEGORÍA],$B60,Diciembre_2024[EGRESO])</f>
        <v>0</v>
      </c>
      <c r="O60" s="12">
        <f t="shared" si="16"/>
        <v>128</v>
      </c>
    </row>
    <row r="61" spans="2:15" s="3" customFormat="1" ht="14.1" customHeight="1" x14ac:dyDescent="0.25">
      <c r="B61" s="9" t="s">
        <v>66</v>
      </c>
      <c r="C61" s="5">
        <f>SUMIF(Enero_2024[CATEGORÍA],$B61,Enero_2024[EGRESO])</f>
        <v>0</v>
      </c>
      <c r="D61" s="5">
        <f>SUMIF(Febrero_2024[CATEGORÍA],$B61,Febrero_2024[EGRESO])</f>
        <v>0</v>
      </c>
      <c r="E61" s="5">
        <f>SUMIF(Marzo_2024[CATEGORÍA],$B61,Marzo_2024[EGRESO])</f>
        <v>0</v>
      </c>
      <c r="F61" s="5">
        <f>SUMIF(Abril_2024[CATEGORÍA],$B61,Abril_2024[EGRESO])</f>
        <v>0</v>
      </c>
      <c r="G61" s="5">
        <f>SUMIF(Mayo_2024[CATEGORÍA],$B61,Mayo_2024[EGRESO])</f>
        <v>0</v>
      </c>
      <c r="H61" s="5">
        <f>SUMIF(Junio_2024[CATEGORÍA],$B61,Junio_2024[EGRESO])</f>
        <v>0</v>
      </c>
      <c r="I61" s="5">
        <f>SUMIF(Julio_2024[CATEGORÍA],$B61,Julio_2024[EGRESO])</f>
        <v>0</v>
      </c>
      <c r="J61" s="5">
        <f>SUMIF(Agosto_2024[CATEGORÍA],$B61,Agosto_2024[EGRESO])</f>
        <v>0</v>
      </c>
      <c r="K61" s="5">
        <f>SUMIF(Septiembre_2024[CATEGORÍA],$B61,Septiembre_2024[EGRESO])</f>
        <v>0</v>
      </c>
      <c r="L61" s="5">
        <f>SUMIF(Octubre_2024[CATEGORÍA],$B61,Octubre_2024[EGRESO])</f>
        <v>0</v>
      </c>
      <c r="M61" s="5">
        <f>SUMIF(Noviembre_2024[CATEGORÍA],$B61,Noviembre_2024[EGRESO])</f>
        <v>0</v>
      </c>
      <c r="N61" s="5">
        <f>SUMIF(Diciembre_2024[CATEGORÍA],$B61,Diciembre_2024[EGRESO])</f>
        <v>0</v>
      </c>
      <c r="O61" s="12">
        <f t="shared" si="16"/>
        <v>0</v>
      </c>
    </row>
    <row r="62" spans="2:15" s="3" customFormat="1" ht="14.1" customHeight="1" x14ac:dyDescent="0.25">
      <c r="B62" s="9" t="s">
        <v>12</v>
      </c>
      <c r="C62" s="5">
        <f>SUMIF(Enero_2024[CATEGORÍA],$B62,Enero_2024[EGRESO])</f>
        <v>0</v>
      </c>
      <c r="D62" s="5">
        <f>SUMIF(Febrero_2024[CATEGORÍA],$B62,Febrero_2024[EGRESO])</f>
        <v>0</v>
      </c>
      <c r="E62" s="5">
        <f>SUMIF(Marzo_2024[CATEGORÍA],$B62,Marzo_2024[EGRESO])</f>
        <v>0</v>
      </c>
      <c r="F62" s="5">
        <f>SUMIF(Abril_2024[CATEGORÍA],$B62,Abril_2024[EGRESO])</f>
        <v>0</v>
      </c>
      <c r="G62" s="5">
        <f>SUMIF(Mayo_2024[CATEGORÍA],$B62,Mayo_2024[EGRESO])</f>
        <v>0</v>
      </c>
      <c r="H62" s="5">
        <f>SUMIF(Junio_2024[CATEGORÍA],$B62,Junio_2024[EGRESO])</f>
        <v>500</v>
      </c>
      <c r="I62" s="5">
        <f>SUMIF(Julio_2024[CATEGORÍA],$B62,Julio_2024[EGRESO])</f>
        <v>1964.18</v>
      </c>
      <c r="J62" s="5">
        <f>SUMIF(Agosto_2024[CATEGORÍA],$B62,Agosto_2024[EGRESO])</f>
        <v>1600</v>
      </c>
      <c r="K62" s="5">
        <f>SUMIF(Septiembre_2024[CATEGORÍA],$B62,Septiembre_2024[EGRESO])</f>
        <v>4033.333333333333</v>
      </c>
      <c r="L62" s="5">
        <f>SUMIF(Octubre_2024[CATEGORÍA],$B62,Octubre_2024[EGRESO])</f>
        <v>0</v>
      </c>
      <c r="M62" s="5">
        <f>SUMIF(Noviembre_2024[CATEGORÍA],$B62,Noviembre_2024[EGRESO])</f>
        <v>0</v>
      </c>
      <c r="N62" s="5">
        <f>SUMIF(Diciembre_2024[CATEGORÍA],$B62,Diciembre_2024[EGRESO])</f>
        <v>0</v>
      </c>
      <c r="O62" s="12">
        <f t="shared" si="16"/>
        <v>8097.5133333333333</v>
      </c>
    </row>
    <row r="63" spans="2:15" s="3" customFormat="1" ht="14.1" customHeight="1" x14ac:dyDescent="0.25">
      <c r="B63" s="9" t="s">
        <v>13</v>
      </c>
      <c r="C63" s="5">
        <f>SUMIF(Enero_2024[CATEGORÍA],$B63,Enero_2024[EGRESO])</f>
        <v>0</v>
      </c>
      <c r="D63" s="5">
        <f>SUMIF(Febrero_2024[CATEGORÍA],$B63,Febrero_2024[EGRESO])</f>
        <v>0</v>
      </c>
      <c r="E63" s="5">
        <f>SUMIF(Marzo_2024[CATEGORÍA],$B63,Marzo_2024[EGRESO])</f>
        <v>0</v>
      </c>
      <c r="F63" s="5">
        <f>SUMIF(Abril_2024[CATEGORÍA],$B63,Abril_2024[EGRESO])</f>
        <v>0</v>
      </c>
      <c r="G63" s="5">
        <f>SUMIF(Mayo_2024[CATEGORÍA],$B63,Mayo_2024[EGRESO])</f>
        <v>0</v>
      </c>
      <c r="H63" s="5">
        <f>SUMIF(Junio_2024[CATEGORÍA],$B63,Junio_2024[EGRESO])</f>
        <v>0</v>
      </c>
      <c r="I63" s="5">
        <f>SUMIF(Julio_2024[CATEGORÍA],$B63,Julio_2024[EGRESO])</f>
        <v>0</v>
      </c>
      <c r="J63" s="5">
        <f>SUMIF(Agosto_2024[CATEGORÍA],$B63,Agosto_2024[EGRESO])</f>
        <v>0</v>
      </c>
      <c r="K63" s="5">
        <f>SUMIF(Septiembre_2024[CATEGORÍA],$B63,Septiembre_2024[EGRESO])</f>
        <v>0</v>
      </c>
      <c r="L63" s="5">
        <f>SUMIF(Octubre_2024[CATEGORÍA],$B63,Octubre_2024[EGRESO])</f>
        <v>0</v>
      </c>
      <c r="M63" s="5">
        <f>SUMIF(Noviembre_2024[CATEGORÍA],$B63,Noviembre_2024[EGRESO])</f>
        <v>0</v>
      </c>
      <c r="N63" s="5">
        <f>SUMIF(Diciembre_2024[CATEGORÍA],$B63,Diciembre_2024[EGRESO])</f>
        <v>0</v>
      </c>
      <c r="O63" s="12">
        <f t="shared" si="16"/>
        <v>0</v>
      </c>
    </row>
    <row r="64" spans="2:15" s="3" customFormat="1" ht="14.1" customHeight="1" x14ac:dyDescent="0.25">
      <c r="B64" s="9" t="s">
        <v>68</v>
      </c>
      <c r="C64" s="5">
        <f>SUMIF(Enero_2024[CATEGORÍA],$B64,Enero_2024[EGRESO])</f>
        <v>0</v>
      </c>
      <c r="D64" s="5">
        <f>SUMIF(Febrero_2024[CATEGORÍA],$B64,Febrero_2024[EGRESO])</f>
        <v>0</v>
      </c>
      <c r="E64" s="5">
        <f>SUMIF(Marzo_2024[CATEGORÍA],$B64,Marzo_2024[EGRESO])</f>
        <v>0</v>
      </c>
      <c r="F64" s="5">
        <f>SUMIF(Abril_2024[CATEGORÍA],$B64,Abril_2024[EGRESO])</f>
        <v>0</v>
      </c>
      <c r="G64" s="5">
        <f>SUMIF(Mayo_2024[CATEGORÍA],$B64,Mayo_2024[EGRESO])</f>
        <v>0</v>
      </c>
      <c r="H64" s="5">
        <f>SUMIF(Junio_2024[CATEGORÍA],$B64,Junio_2024[EGRESO])</f>
        <v>0</v>
      </c>
      <c r="I64" s="5">
        <f>SUMIF(Julio_2024[CATEGORÍA],$B64,Julio_2024[EGRESO])</f>
        <v>115</v>
      </c>
      <c r="J64" s="5">
        <f>SUMIF(Agosto_2024[CATEGORÍA],$B64,Agosto_2024[EGRESO])</f>
        <v>0</v>
      </c>
      <c r="K64" s="5">
        <f>SUMIF(Septiembre_2024[CATEGORÍA],$B64,Septiembre_2024[EGRESO])</f>
        <v>0</v>
      </c>
      <c r="L64" s="5">
        <f>SUMIF(Octubre_2024[CATEGORÍA],$B64,Octubre_2024[EGRESO])</f>
        <v>0</v>
      </c>
      <c r="M64" s="5">
        <f>SUMIF(Noviembre_2024[CATEGORÍA],$B64,Noviembre_2024[EGRESO])</f>
        <v>0</v>
      </c>
      <c r="N64" s="5">
        <f>SUMIF(Diciembre_2024[CATEGORÍA],$B64,Diciembre_2024[EGRESO])</f>
        <v>0</v>
      </c>
      <c r="O64" s="12">
        <f t="shared" si="16"/>
        <v>115</v>
      </c>
    </row>
    <row r="65" spans="2:15" s="3" customFormat="1" ht="14.1" customHeight="1" x14ac:dyDescent="0.25">
      <c r="B65" s="9" t="s">
        <v>67</v>
      </c>
      <c r="C65" s="5">
        <f>SUMIF(Enero_2024[CATEGORÍA],$B65,Enero_2024[EGRESO])</f>
        <v>0</v>
      </c>
      <c r="D65" s="5">
        <f>SUMIF(Febrero_2024[CATEGORÍA],$B65,Febrero_2024[EGRESO])</f>
        <v>0</v>
      </c>
      <c r="E65" s="5">
        <f>SUMIF(Marzo_2024[CATEGORÍA],$B65,Marzo_2024[EGRESO])</f>
        <v>0</v>
      </c>
      <c r="F65" s="5">
        <f>SUMIF(Abril_2024[CATEGORÍA],$B65,Abril_2024[EGRESO])</f>
        <v>0</v>
      </c>
      <c r="G65" s="5">
        <f>SUMIF(Mayo_2024[CATEGORÍA],$B65,Mayo_2024[EGRESO])</f>
        <v>0</v>
      </c>
      <c r="H65" s="5">
        <f>SUMIF(Junio_2024[CATEGORÍA],$B65,Junio_2024[EGRESO])</f>
        <v>0</v>
      </c>
      <c r="I65" s="5">
        <f>SUMIF(Julio_2024[CATEGORÍA],$B65,Julio_2024[EGRESO])</f>
        <v>0</v>
      </c>
      <c r="J65" s="5">
        <f>SUMIF(Agosto_2024[CATEGORÍA],$B65,Agosto_2024[EGRESO])</f>
        <v>0</v>
      </c>
      <c r="K65" s="5">
        <f>SUMIF(Septiembre_2024[CATEGORÍA],$B65,Septiembre_2024[EGRESO])</f>
        <v>0</v>
      </c>
      <c r="L65" s="5">
        <f>SUMIF(Octubre_2024[CATEGORÍA],$B65,Octubre_2024[EGRESO])</f>
        <v>0</v>
      </c>
      <c r="M65" s="5">
        <f>SUMIF(Noviembre_2024[CATEGORÍA],$B65,Noviembre_2024[EGRESO])</f>
        <v>0</v>
      </c>
      <c r="N65" s="5">
        <f>SUMIF(Diciembre_2024[CATEGORÍA],$B65,Diciembre_2024[EGRESO])</f>
        <v>0</v>
      </c>
      <c r="O65" s="12">
        <f t="shared" si="16"/>
        <v>0</v>
      </c>
    </row>
    <row r="66" spans="2:15" s="3" customFormat="1" ht="14.1" customHeight="1" x14ac:dyDescent="0.25">
      <c r="B66" s="9" t="s">
        <v>9</v>
      </c>
      <c r="C66" s="5">
        <f>SUMIF(Enero_2024[CATEGORÍA],$B66,Enero_2024[EGRESO])</f>
        <v>0</v>
      </c>
      <c r="D66" s="5">
        <f>SUMIF(Febrero_2024[CATEGORÍA],$B66,Febrero_2024[EGRESO])</f>
        <v>0</v>
      </c>
      <c r="E66" s="5">
        <f>SUMIF(Marzo_2024[CATEGORÍA],$B66,Marzo_2024[EGRESO])</f>
        <v>0</v>
      </c>
      <c r="F66" s="5">
        <f>SUMIF(Abril_2024[CATEGORÍA],$B66,Abril_2024[EGRESO])</f>
        <v>0</v>
      </c>
      <c r="G66" s="5">
        <f>SUMIF(Mayo_2024[CATEGORÍA],$B66,Mayo_2024[EGRESO])</f>
        <v>0</v>
      </c>
      <c r="H66" s="5">
        <f>SUMIF(Junio_2024[CATEGORÍA],$B66,Junio_2024[EGRESO])</f>
        <v>0</v>
      </c>
      <c r="I66" s="5">
        <f>SUMIF(Julio_2024[CATEGORÍA],$B66,Julio_2024[EGRESO])</f>
        <v>0</v>
      </c>
      <c r="J66" s="5">
        <f>SUMIF(Agosto_2024[CATEGORÍA],$B66,Agosto_2024[EGRESO])</f>
        <v>0</v>
      </c>
      <c r="K66" s="5">
        <f>SUMIF(Septiembre_2024[CATEGORÍA],$B66,Septiembre_2024[EGRESO])</f>
        <v>0</v>
      </c>
      <c r="L66" s="5">
        <f>SUMIF(Octubre_2024[CATEGORÍA],$B66,Octubre_2024[EGRESO])</f>
        <v>0</v>
      </c>
      <c r="M66" s="5">
        <f>SUMIF(Noviembre_2024[CATEGORÍA],$B66,Noviembre_2024[EGRESO])</f>
        <v>0</v>
      </c>
      <c r="N66" s="5">
        <f>SUMIF(Diciembre_2024[CATEGORÍA],$B66,Diciembre_2024[EGRESO])</f>
        <v>0</v>
      </c>
      <c r="O66" s="12">
        <f t="shared" si="16"/>
        <v>0</v>
      </c>
    </row>
    <row r="67" spans="2:15" s="3" customFormat="1" ht="14.1" customHeight="1" x14ac:dyDescent="0.25">
      <c r="B67" s="9"/>
      <c r="C67" s="20">
        <f>SUM(C58:C66)</f>
        <v>0</v>
      </c>
      <c r="D67" s="20">
        <f t="shared" ref="D67:O67" si="17">SUM(D58:D66)</f>
        <v>0</v>
      </c>
      <c r="E67" s="20">
        <f>SUM(E58:E66)</f>
        <v>0</v>
      </c>
      <c r="F67" s="20">
        <f t="shared" si="17"/>
        <v>0</v>
      </c>
      <c r="G67" s="20">
        <f t="shared" si="17"/>
        <v>50</v>
      </c>
      <c r="H67" s="20">
        <f t="shared" si="17"/>
        <v>500</v>
      </c>
      <c r="I67" s="20">
        <f t="shared" si="17"/>
        <v>2079.1800000000003</v>
      </c>
      <c r="J67" s="20">
        <f t="shared" si="17"/>
        <v>1600</v>
      </c>
      <c r="K67" s="20">
        <f t="shared" si="17"/>
        <v>4111.333333333333</v>
      </c>
      <c r="L67" s="20">
        <f t="shared" si="17"/>
        <v>0</v>
      </c>
      <c r="M67" s="20">
        <f t="shared" si="17"/>
        <v>0</v>
      </c>
      <c r="N67" s="20">
        <f t="shared" si="17"/>
        <v>0</v>
      </c>
      <c r="O67" s="20">
        <f t="shared" si="17"/>
        <v>8340.5133333333324</v>
      </c>
    </row>
    <row r="68" spans="2:15" s="3" customFormat="1" ht="14.1" customHeight="1" x14ac:dyDescent="0.25">
      <c r="B68" s="18" t="s">
        <v>47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1"/>
    </row>
    <row r="69" spans="2:15" s="3" customFormat="1" ht="14.1" customHeight="1" x14ac:dyDescent="0.25">
      <c r="B69" s="9" t="s">
        <v>70</v>
      </c>
      <c r="C69" s="5">
        <f>SUMIF(Enero_2024[CATEGORÍA],$B69,Enero_2024[EGRESO])</f>
        <v>0</v>
      </c>
      <c r="D69" s="5">
        <f>SUMIF(Febrero_2024[CATEGORÍA],$B69,Febrero_2024[EGRESO])</f>
        <v>0</v>
      </c>
      <c r="E69" s="5">
        <f>SUMIF(Marzo_2024[CATEGORÍA],$B69,Marzo_2024[EGRESO])</f>
        <v>0</v>
      </c>
      <c r="F69" s="5">
        <f>SUMIF(Abril_2024[CATEGORÍA],$B69,Abril_2024[EGRESO])</f>
        <v>0</v>
      </c>
      <c r="G69" s="5">
        <f>SUMIF(Mayo_2024[CATEGORÍA],$B69,Mayo_2024[EGRESO])</f>
        <v>0</v>
      </c>
      <c r="H69" s="5">
        <f>SUMIF(Junio_2024[CATEGORÍA],$B69,Junio_2024[EGRESO])</f>
        <v>0</v>
      </c>
      <c r="I69" s="5">
        <f>SUMIF(Julio_2024[CATEGORÍA],$B69,Julio_2024[EGRESO])</f>
        <v>0</v>
      </c>
      <c r="J69" s="5">
        <f>SUMIF(Agosto_2024[CATEGORÍA],$B69,Agosto_2024[EGRESO])</f>
        <v>0</v>
      </c>
      <c r="K69" s="5">
        <f>SUMIF(Septiembre_2024[CATEGORÍA],$B69,Septiembre_2024[EGRESO])</f>
        <v>0</v>
      </c>
      <c r="L69" s="5">
        <f>SUMIF(Octubre_2024[CATEGORÍA],$B69,Octubre_2024[EGRESO])</f>
        <v>0</v>
      </c>
      <c r="M69" s="5">
        <f>SUMIF(Noviembre_2024[CATEGORÍA],$B69,Noviembre_2024[EGRESO])</f>
        <v>0</v>
      </c>
      <c r="N69" s="5">
        <f>SUMIF(Diciembre_2024[CATEGORÍA],$B69,Diciembre_2024[EGRESO])</f>
        <v>0</v>
      </c>
      <c r="O69" s="12">
        <f>SUM(D69:N69)</f>
        <v>0</v>
      </c>
    </row>
    <row r="70" spans="2:15" s="3" customFormat="1" ht="14.1" customHeight="1" x14ac:dyDescent="0.25">
      <c r="B70" s="9" t="s">
        <v>69</v>
      </c>
      <c r="C70" s="5">
        <f>SUMIF(Enero_2024[CATEGORÍA],$B70,Enero_2024[EGRESO])</f>
        <v>0</v>
      </c>
      <c r="D70" s="5">
        <f>SUMIF(Febrero_2024[CATEGORÍA],$B70,Febrero_2024[EGRESO])</f>
        <v>0</v>
      </c>
      <c r="E70" s="5">
        <f>SUMIF(Marzo_2024[CATEGORÍA],$B70,Marzo_2024[EGRESO])</f>
        <v>0</v>
      </c>
      <c r="F70" s="5">
        <f>SUMIF(Abril_2024[CATEGORÍA],$B70,Abril_2024[EGRESO])</f>
        <v>0</v>
      </c>
      <c r="G70" s="5">
        <f>SUMIF(Mayo_2024[CATEGORÍA],$B70,Mayo_2024[EGRESO])</f>
        <v>0</v>
      </c>
      <c r="H70" s="5">
        <f>SUMIF(Junio_2024[CATEGORÍA],$B70,Junio_2024[EGRESO])</f>
        <v>0</v>
      </c>
      <c r="I70" s="5">
        <f>SUMIF(Julio_2024[CATEGORÍA],$B70,Julio_2024[EGRESO])</f>
        <v>0</v>
      </c>
      <c r="J70" s="5">
        <f>SUMIF(Agosto_2024[CATEGORÍA],$B70,Agosto_2024[EGRESO])</f>
        <v>0</v>
      </c>
      <c r="K70" s="5">
        <f>SUMIF(Septiembre_2024[CATEGORÍA],$B70,Septiembre_2024[EGRESO])</f>
        <v>179.666666666666</v>
      </c>
      <c r="L70" s="5">
        <f>SUMIF(Octubre_2024[CATEGORÍA],$B70,Octubre_2024[EGRESO])</f>
        <v>0</v>
      </c>
      <c r="M70" s="5">
        <f>SUMIF(Noviembre_2024[CATEGORÍA],$B70,Noviembre_2024[EGRESO])</f>
        <v>0</v>
      </c>
      <c r="N70" s="5">
        <f>SUMIF(Diciembre_2024[CATEGORÍA],$B70,Diciembre_2024[EGRESO])</f>
        <v>0</v>
      </c>
      <c r="O70" s="12">
        <f t="shared" ref="O70:O75" si="18">SUM(D70:N70)</f>
        <v>179.666666666666</v>
      </c>
    </row>
    <row r="71" spans="2:15" s="3" customFormat="1" ht="14.1" customHeight="1" x14ac:dyDescent="0.25">
      <c r="B71" s="9" t="s">
        <v>14</v>
      </c>
      <c r="C71" s="5">
        <f>SUMIF(Enero_2024[CATEGORÍA],$B71,Enero_2024[EGRESO])</f>
        <v>0</v>
      </c>
      <c r="D71" s="5">
        <f>SUMIF(Febrero_2024[CATEGORÍA],$B71,Febrero_2024[EGRESO])</f>
        <v>0</v>
      </c>
      <c r="E71" s="5">
        <f>SUMIF(Marzo_2024[CATEGORÍA],$B71,Marzo_2024[EGRESO])</f>
        <v>0</v>
      </c>
      <c r="F71" s="5">
        <f>SUMIF(Abril_2024[CATEGORÍA],$B71,Abril_2024[EGRESO])</f>
        <v>0</v>
      </c>
      <c r="G71" s="5">
        <f>SUMIF(Mayo_2024[CATEGORÍA],$B71,Mayo_2024[EGRESO])</f>
        <v>0</v>
      </c>
      <c r="H71" s="5">
        <f>SUMIF(Junio_2024[CATEGORÍA],$B71,Junio_2024[EGRESO])</f>
        <v>0</v>
      </c>
      <c r="I71" s="5">
        <f>SUMIF(Julio_2024[CATEGORÍA],$B71,Julio_2024[EGRESO])</f>
        <v>0</v>
      </c>
      <c r="J71" s="5">
        <f>SUMIF(Agosto_2024[CATEGORÍA],$B71,Agosto_2024[EGRESO])</f>
        <v>0</v>
      </c>
      <c r="K71" s="5">
        <f>SUMIF(Septiembre_2024[CATEGORÍA],$B71,Septiembre_2024[EGRESO])</f>
        <v>0</v>
      </c>
      <c r="L71" s="5">
        <f>SUMIF(Octubre_2024[CATEGORÍA],$B71,Octubre_2024[EGRESO])</f>
        <v>0</v>
      </c>
      <c r="M71" s="5">
        <f>SUMIF(Noviembre_2024[CATEGORÍA],$B71,Noviembre_2024[EGRESO])</f>
        <v>0</v>
      </c>
      <c r="N71" s="5">
        <f>SUMIF(Diciembre_2024[CATEGORÍA],$B71,Diciembre_2024[EGRESO])</f>
        <v>0</v>
      </c>
      <c r="O71" s="12">
        <f t="shared" si="18"/>
        <v>0</v>
      </c>
    </row>
    <row r="72" spans="2:15" s="3" customFormat="1" ht="14.1" customHeight="1" x14ac:dyDescent="0.25">
      <c r="B72" s="9" t="s">
        <v>51</v>
      </c>
      <c r="C72" s="5">
        <f>SUMIF(Enero_2024[CATEGORÍA],$B72,Enero_2024[EGRESO])</f>
        <v>0</v>
      </c>
      <c r="D72" s="5">
        <f>SUMIF(Febrero_2024[CATEGORÍA],$B72,Febrero_2024[EGRESO])</f>
        <v>0</v>
      </c>
      <c r="E72" s="5">
        <f>SUMIF(Marzo_2024[CATEGORÍA],$B72,Marzo_2024[EGRESO])</f>
        <v>0</v>
      </c>
      <c r="F72" s="5">
        <f>SUMIF(Abril_2024[CATEGORÍA],$B72,Abril_2024[EGRESO])</f>
        <v>0</v>
      </c>
      <c r="G72" s="5">
        <f>SUMIF(Mayo_2024[CATEGORÍA],$B72,Mayo_2024[EGRESO])</f>
        <v>0</v>
      </c>
      <c r="H72" s="5">
        <f>SUMIF(Junio_2024[CATEGORÍA],$B72,Junio_2024[EGRESO])</f>
        <v>0</v>
      </c>
      <c r="I72" s="5">
        <f>SUMIF(Julio_2024[CATEGORÍA],$B72,Julio_2024[EGRESO])</f>
        <v>0</v>
      </c>
      <c r="J72" s="5">
        <f>SUMIF(Agosto_2024[CATEGORÍA],$B72,Agosto_2024[EGRESO])</f>
        <v>0</v>
      </c>
      <c r="K72" s="5">
        <f>SUMIF(Septiembre_2024[CATEGORÍA],$B72,Septiembre_2024[EGRESO])</f>
        <v>0</v>
      </c>
      <c r="L72" s="5">
        <f>SUMIF(Octubre_2024[CATEGORÍA],$B72,Octubre_2024[EGRESO])</f>
        <v>0</v>
      </c>
      <c r="M72" s="5">
        <f>SUMIF(Noviembre_2024[CATEGORÍA],$B72,Noviembre_2024[EGRESO])</f>
        <v>0</v>
      </c>
      <c r="N72" s="5">
        <f>SUMIF(Diciembre_2024[CATEGORÍA],$B72,Diciembre_2024[EGRESO])</f>
        <v>0</v>
      </c>
      <c r="O72" s="12">
        <f>SUM(D72:N72)</f>
        <v>0</v>
      </c>
    </row>
    <row r="73" spans="2:15" s="3" customFormat="1" ht="14.1" customHeight="1" x14ac:dyDescent="0.25">
      <c r="B73" s="9" t="s">
        <v>161</v>
      </c>
      <c r="C73" s="5">
        <f>SUMIF(Enero_2024[CATEGORÍA],$B73,Enero_2024[EGRESO])</f>
        <v>0</v>
      </c>
      <c r="D73" s="5">
        <f>SUMIF(Febrero_2024[CATEGORÍA],$B73,Febrero_2024[EGRESO])</f>
        <v>4619.96</v>
      </c>
      <c r="E73" s="5">
        <f>SUMIF(Marzo_2024[CATEGORÍA],$B73,Marzo_2024[EGRESO])</f>
        <v>0</v>
      </c>
      <c r="F73" s="5">
        <f>SUMIF(Abril_2024[CATEGORÍA],$B73,Abril_2024[EGRESO])</f>
        <v>0</v>
      </c>
      <c r="G73" s="5">
        <f>SUMIF(Mayo_2024[CATEGORÍA],$B73,Mayo_2024[EGRESO])</f>
        <v>0</v>
      </c>
      <c r="H73" s="5">
        <f>SUMIF(Junio_2024[CATEGORÍA],$B73,Junio_2024[EGRESO])</f>
        <v>0</v>
      </c>
      <c r="I73" s="5">
        <f>SUMIF(Julio_2024[CATEGORÍA],$B73,Julio_2024[EGRESO])</f>
        <v>0</v>
      </c>
      <c r="J73" s="5">
        <f>SUMIF(Agosto_2024[CATEGORÍA],$B73,Agosto_2024[EGRESO])</f>
        <v>0</v>
      </c>
      <c r="K73" s="5">
        <f>SUMIF(Septiembre_2024[CATEGORÍA],$B73,Septiembre_2024[EGRESO])</f>
        <v>0</v>
      </c>
      <c r="L73" s="5">
        <f>SUMIF(Octubre_2024[CATEGORÍA],$B73,Octubre_2024[EGRESO])</f>
        <v>0</v>
      </c>
      <c r="M73" s="5">
        <f>SUMIF(Noviembre_2024[CATEGORÍA],$B73,Noviembre_2024[EGRESO])</f>
        <v>0</v>
      </c>
      <c r="N73" s="5">
        <f>SUMIF(Diciembre_2024[CATEGORÍA],$B73,Diciembre_2024[EGRESO])</f>
        <v>0</v>
      </c>
      <c r="O73" s="12">
        <f>SUM(D73:N73)</f>
        <v>4619.96</v>
      </c>
    </row>
    <row r="74" spans="2:15" s="3" customFormat="1" ht="14.1" customHeight="1" x14ac:dyDescent="0.25">
      <c r="B74" s="9" t="s">
        <v>513</v>
      </c>
      <c r="C74" s="5">
        <f>SUMIF(Enero_2024[CATEGORÍA],$B74,Enero_2024[EGRESO])</f>
        <v>0</v>
      </c>
      <c r="D74" s="5">
        <f>SUMIF(Febrero_2024[CATEGORÍA],$B74,Febrero_2024[EGRESO])</f>
        <v>0</v>
      </c>
      <c r="E74" s="5">
        <f>SUMIF(Marzo_2024[CATEGORÍA],$B74,Marzo_2024[EGRESO])</f>
        <v>0</v>
      </c>
      <c r="F74" s="5">
        <f>SUMIF(Abril_2024[CATEGORÍA],$B74,Abril_2024[EGRESO])</f>
        <v>0</v>
      </c>
      <c r="G74" s="5">
        <f>SUMIF(Mayo_2024[CATEGORÍA],$B74,Mayo_2024[EGRESO])</f>
        <v>0</v>
      </c>
      <c r="H74" s="5">
        <f>SUMIF(Junio_2024[CATEGORÍA],$B74,Junio_2024[EGRESO])</f>
        <v>0</v>
      </c>
      <c r="I74" s="5">
        <f>SUMIF(Julio_2024[CATEGORÍA],$B74,Julio_2024[EGRESO])</f>
        <v>0</v>
      </c>
      <c r="J74" s="5">
        <f>SUMIF(Agosto_2024[CATEGORÍA],$B74,Agosto_2024[EGRESO])</f>
        <v>0</v>
      </c>
      <c r="K74" s="5">
        <f>SUMIF(Septiembre_2024[CATEGORÍA],$B74,Septiembre_2024[EGRESO])</f>
        <v>506</v>
      </c>
      <c r="L74" s="5">
        <f>SUMIF(Octubre_2024[CATEGORÍA],$B74,Octubre_2024[EGRESO])</f>
        <v>0</v>
      </c>
      <c r="M74" s="5">
        <f>SUMIF(Noviembre_2024[CATEGORÍA],$B74,Noviembre_2024[EGRESO])</f>
        <v>0</v>
      </c>
      <c r="N74" s="5">
        <f>SUMIF(Diciembre_2024[CATEGORÍA],$B74,Diciembre_2024[EGRESO])</f>
        <v>0</v>
      </c>
      <c r="O74" s="12">
        <f>SUM(D74:N74)</f>
        <v>506</v>
      </c>
    </row>
    <row r="75" spans="2:15" s="3" customFormat="1" ht="14.1" customHeight="1" x14ac:dyDescent="0.25">
      <c r="B75" s="9" t="s">
        <v>81</v>
      </c>
      <c r="C75" s="5">
        <f>SUMIF(Enero_2024[CATEGORÍA],$B75,Enero_2024[EGRESO])</f>
        <v>0</v>
      </c>
      <c r="D75" s="5">
        <f>SUMIF(Febrero_2024[CATEGORÍA],$B75,Febrero_2024[EGRESO])</f>
        <v>0</v>
      </c>
      <c r="E75" s="5">
        <f>SUMIF(Marzo_2024[CATEGORÍA],$B75,Marzo_2024[EGRESO])</f>
        <v>0</v>
      </c>
      <c r="F75" s="5">
        <f>SUMIF(Abril_2024[CATEGORÍA],$B75,Abril_2024[EGRESO])</f>
        <v>0</v>
      </c>
      <c r="G75" s="5">
        <f>SUMIF(Mayo_2024[CATEGORÍA],$B75,Mayo_2024[EGRESO])</f>
        <v>0</v>
      </c>
      <c r="H75" s="5">
        <f>SUMIF(Junio_2024[CATEGORÍA],$B75,Junio_2024[EGRESO])</f>
        <v>0</v>
      </c>
      <c r="I75" s="5">
        <f>SUMIF(Julio_2024[CATEGORÍA],$B75,Julio_2024[EGRESO])</f>
        <v>0</v>
      </c>
      <c r="J75" s="5">
        <f>SUMIF(Agosto_2024[CATEGORÍA],$B75,Agosto_2024[EGRESO])</f>
        <v>0</v>
      </c>
      <c r="K75" s="5">
        <f>SUMIF(Septiembre_2024[CATEGORÍA],$B75,Septiembre_2024[EGRESO])</f>
        <v>0</v>
      </c>
      <c r="L75" s="5">
        <f>SUMIF(Octubre_2024[CATEGORÍA],$B75,Octubre_2024[EGRESO])</f>
        <v>0</v>
      </c>
      <c r="M75" s="5">
        <f>SUMIF(Noviembre_2024[CATEGORÍA],$B75,Noviembre_2024[EGRESO])</f>
        <v>0</v>
      </c>
      <c r="N75" s="5">
        <f>SUMIF(Diciembre_2024[CATEGORÍA],$B75,Diciembre_2024[EGRESO])</f>
        <v>0</v>
      </c>
      <c r="O75" s="12">
        <f t="shared" si="18"/>
        <v>0</v>
      </c>
    </row>
    <row r="76" spans="2:15" s="3" customFormat="1" ht="14.1" customHeight="1" x14ac:dyDescent="0.25">
      <c r="B76" s="9"/>
      <c r="C76" s="20">
        <f t="shared" ref="C76:O76" si="19">SUM(C69:C75)</f>
        <v>0</v>
      </c>
      <c r="D76" s="20">
        <f t="shared" si="19"/>
        <v>4619.96</v>
      </c>
      <c r="E76" s="20">
        <f t="shared" si="19"/>
        <v>0</v>
      </c>
      <c r="F76" s="20">
        <f t="shared" si="19"/>
        <v>0</v>
      </c>
      <c r="G76" s="20">
        <f t="shared" si="19"/>
        <v>0</v>
      </c>
      <c r="H76" s="20">
        <f t="shared" si="19"/>
        <v>0</v>
      </c>
      <c r="I76" s="20">
        <f t="shared" si="19"/>
        <v>0</v>
      </c>
      <c r="J76" s="20">
        <f t="shared" si="19"/>
        <v>0</v>
      </c>
      <c r="K76" s="20">
        <f t="shared" si="19"/>
        <v>685.66666666666606</v>
      </c>
      <c r="L76" s="20">
        <f t="shared" si="19"/>
        <v>0</v>
      </c>
      <c r="M76" s="20">
        <f t="shared" si="19"/>
        <v>0</v>
      </c>
      <c r="N76" s="20">
        <f t="shared" si="19"/>
        <v>0</v>
      </c>
      <c r="O76" s="20">
        <f t="shared" si="19"/>
        <v>5305.6266666666661</v>
      </c>
    </row>
    <row r="77" spans="2:15" s="3" customFormat="1" ht="14.1" customHeight="1" x14ac:dyDescent="0.25">
      <c r="B77" s="18" t="s">
        <v>49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11"/>
    </row>
    <row r="78" spans="2:15" s="3" customFormat="1" ht="14.1" customHeight="1" x14ac:dyDescent="0.25">
      <c r="B78" s="9" t="s">
        <v>102</v>
      </c>
      <c r="C78" s="5">
        <f>SUMIF(Enero_2024[CATEGORÍA],$B78,Enero_2024[EGRESO])</f>
        <v>0</v>
      </c>
      <c r="D78" s="5">
        <f>SUMIF(Febrero_2024[CATEGORÍA],$B78,Febrero_2024[EGRESO])</f>
        <v>0</v>
      </c>
      <c r="E78" s="5">
        <f>SUMIF(Marzo_2024[CATEGORÍA],$B78,Marzo_2024[EGRESO])</f>
        <v>0</v>
      </c>
      <c r="F78" s="5">
        <f>SUMIF(Abril_2024[CATEGORÍA],$B78,Abril_2024[EGRESO])</f>
        <v>0</v>
      </c>
      <c r="G78" s="5">
        <f>SUMIF(Mayo_2024[CATEGORÍA],$B78,Mayo_2024[EGRESO])</f>
        <v>0</v>
      </c>
      <c r="H78" s="5">
        <f>SUMIF(Junio_2024[CATEGORÍA],$B78,Junio_2024[EGRESO])</f>
        <v>0</v>
      </c>
      <c r="I78" s="5">
        <f>SUMIF(Julio_2024[CATEGORÍA],$B78,Julio_2024[EGRESO])</f>
        <v>0</v>
      </c>
      <c r="J78" s="5">
        <f>SUMIF(Agosto_2024[CATEGORÍA],$B78,Agosto_2024[EGRESO])</f>
        <v>0</v>
      </c>
      <c r="K78" s="5">
        <f>SUMIF(Septiembre_2024[CATEGORÍA],$B78,Septiembre_2024[EGRESO])</f>
        <v>0</v>
      </c>
      <c r="L78" s="5">
        <f>SUMIF(Octubre_2024[CATEGORÍA],$B78,Octubre_2024[EGRESO])</f>
        <v>0</v>
      </c>
      <c r="M78" s="5">
        <f>SUMIF(Noviembre_2024[CATEGORÍA],$B78,Noviembre_2024[EGRESO])</f>
        <v>0</v>
      </c>
      <c r="N78" s="5">
        <f>SUMIF(Diciembre_2024[CATEGORÍA],$B78,Diciembre_2024[EGRESO])</f>
        <v>0</v>
      </c>
      <c r="O78" s="12">
        <f>SUM(D78:N78)</f>
        <v>0</v>
      </c>
    </row>
    <row r="79" spans="2:15" s="3" customFormat="1" ht="14.1" customHeight="1" x14ac:dyDescent="0.25">
      <c r="B79" s="9" t="s">
        <v>103</v>
      </c>
      <c r="C79" s="5">
        <f>SUMIF(Enero_2024[CATEGORÍA],$B79,Enero_2024[EGRESO])</f>
        <v>2639</v>
      </c>
      <c r="D79" s="5">
        <f>SUMIF(Febrero_2024[CATEGORÍA],$B79,Febrero_2024[EGRESO])</f>
        <v>3322.5</v>
      </c>
      <c r="E79" s="5">
        <f>SUMIF(Marzo_2024[CATEGORÍA],$B79,Marzo_2024[EGRESO])</f>
        <v>9536</v>
      </c>
      <c r="F79" s="5">
        <f>SUMIF(Abril_2024[CATEGORÍA],$B79,Abril_2024[EGRESO])</f>
        <v>4445</v>
      </c>
      <c r="G79" s="5">
        <f>SUMIF(Mayo_2024[CATEGORÍA],$B79,Mayo_2024[EGRESO])</f>
        <v>9927</v>
      </c>
      <c r="H79" s="5">
        <f>SUMIF(Junio_2024[CATEGORÍA],$B79,Junio_2024[EGRESO])</f>
        <v>7425</v>
      </c>
      <c r="I79" s="5">
        <f>SUMIF(Julio_2024[CATEGORÍA],$B79,Julio_2024[EGRESO])</f>
        <v>10952.5</v>
      </c>
      <c r="J79" s="5">
        <f>SUMIF(Agosto_2024[CATEGORÍA],$B79,Agosto_2024[EGRESO])</f>
        <v>15961</v>
      </c>
      <c r="K79" s="5">
        <f>SUMIF(Septiembre_2024[CATEGORÍA],$B79,Septiembre_2024[EGRESO])</f>
        <v>9110.5</v>
      </c>
      <c r="L79" s="5">
        <f>SUMIF(Octubre_2024[CATEGORÍA],$B79,Octubre_2024[EGRESO])</f>
        <v>13075</v>
      </c>
      <c r="M79" s="5">
        <f>SUMIF(Noviembre_2024[CATEGORÍA],$B79,Noviembre_2024[EGRESO])</f>
        <v>0</v>
      </c>
      <c r="N79" s="5">
        <f>SUMIF(Diciembre_2024[CATEGORÍA],$B79,Diciembre_2024[EGRESO])</f>
        <v>0</v>
      </c>
      <c r="O79" s="12">
        <f t="shared" ref="O79:O80" si="20">SUM(D79:N79)</f>
        <v>83754.5</v>
      </c>
    </row>
    <row r="80" spans="2:15" s="3" customFormat="1" ht="14.1" customHeight="1" x14ac:dyDescent="0.25">
      <c r="B80" s="9" t="s">
        <v>104</v>
      </c>
      <c r="C80" s="5">
        <f>SUMIF(Enero_2024[CATEGORÍA],$B80,Enero_2024[EGRESO])</f>
        <v>0</v>
      </c>
      <c r="D80" s="5">
        <f>SUMIF(Febrero_2024[CATEGORÍA],$B80,Febrero_2024[EGRESO])</f>
        <v>0</v>
      </c>
      <c r="E80" s="5">
        <f>SUMIF(Marzo_2024[CATEGORÍA],$B80,Marzo_2024[EGRESO])</f>
        <v>227.5</v>
      </c>
      <c r="F80" s="5">
        <f>SUMIF(Abril_2024[CATEGORÍA],$B80,Abril_2024[EGRESO])</f>
        <v>0</v>
      </c>
      <c r="G80" s="5">
        <f>SUMIF(Mayo_2024[CATEGORÍA],$B80,Mayo_2024[EGRESO])</f>
        <v>0</v>
      </c>
      <c r="H80" s="5">
        <f>SUMIF(Junio_2024[CATEGORÍA],$B80,Junio_2024[EGRESO])</f>
        <v>0</v>
      </c>
      <c r="I80" s="5">
        <f>SUMIF(Julio_2024[CATEGORÍA],$B80,Julio_2024[EGRESO])</f>
        <v>0</v>
      </c>
      <c r="J80" s="5">
        <f>SUMIF(Agosto_2024[CATEGORÍA],$B80,Agosto_2024[EGRESO])</f>
        <v>0</v>
      </c>
      <c r="K80" s="5">
        <f>SUMIF(Septiembre_2024[CATEGORÍA],$B80,Septiembre_2024[EGRESO])</f>
        <v>0</v>
      </c>
      <c r="L80" s="5">
        <f>SUMIF(Octubre_2024[CATEGORÍA],$B80,Octubre_2024[EGRESO])</f>
        <v>0</v>
      </c>
      <c r="M80" s="5">
        <f>SUMIF(Noviembre_2024[CATEGORÍA],$B80,Noviembre_2024[EGRESO])</f>
        <v>0</v>
      </c>
      <c r="N80" s="5">
        <f>SUMIF(Diciembre_2024[CATEGORÍA],$B80,Diciembre_2024[EGRESO])</f>
        <v>0</v>
      </c>
      <c r="O80" s="12">
        <f t="shared" si="20"/>
        <v>227.5</v>
      </c>
    </row>
    <row r="81" spans="2:15" s="3" customFormat="1" ht="14.1" customHeight="1" x14ac:dyDescent="0.25">
      <c r="B81" s="9" t="s">
        <v>119</v>
      </c>
      <c r="C81" s="5">
        <f>SUMIF(Enero_2024[CATEGORÍA],$B81,Enero_2024[EGRESO])</f>
        <v>0</v>
      </c>
      <c r="D81" s="5">
        <f>SUMIF(Febrero_2024[CATEGORÍA],$B81,Febrero_2024[EGRESO])</f>
        <v>0</v>
      </c>
      <c r="E81" s="5">
        <f>SUMIF(Marzo_2024[CATEGORÍA],$B81,Marzo_2024[EGRESO])</f>
        <v>15000</v>
      </c>
      <c r="F81" s="5">
        <f>SUMIF(Abril_2024[CATEGORÍA],$B81,Abril_2024[EGRESO])</f>
        <v>0</v>
      </c>
      <c r="G81" s="5">
        <f>SUMIF(Mayo_2024[CATEGORÍA],$B81,Mayo_2024[EGRESO])</f>
        <v>0</v>
      </c>
      <c r="H81" s="5">
        <f>SUMIF(Junio_2024[CATEGORÍA],$B81,Junio_2024[EGRESO])</f>
        <v>0</v>
      </c>
      <c r="I81" s="5">
        <f>SUMIF(Julio_2024[CATEGORÍA],$B81,Julio_2024[EGRESO])</f>
        <v>0</v>
      </c>
      <c r="J81" s="5">
        <f>SUMIF(Agosto_2024[CATEGORÍA],$B81,Agosto_2024[EGRESO])</f>
        <v>0</v>
      </c>
      <c r="K81" s="5">
        <f>SUMIF(Septiembre_2024[CATEGORÍA],$B81,Septiembre_2024[EGRESO])</f>
        <v>0</v>
      </c>
      <c r="L81" s="5">
        <f>SUMIF(Octubre_2024[CATEGORÍA],$B81,Octubre_2024[EGRESO])</f>
        <v>0</v>
      </c>
      <c r="M81" s="5">
        <f>SUMIF(Noviembre_2024[CATEGORÍA],$B81,Noviembre_2024[EGRESO])</f>
        <v>0</v>
      </c>
      <c r="N81" s="5">
        <f>SUMIF(Diciembre_2024[CATEGORÍA],$B81,Diciembre_2024[EGRESO])</f>
        <v>0</v>
      </c>
      <c r="O81" s="12">
        <f t="shared" ref="O81" si="21">SUM(D81:N81)</f>
        <v>15000</v>
      </c>
    </row>
    <row r="82" spans="2:15" s="3" customFormat="1" ht="14.1" customHeight="1" x14ac:dyDescent="0.25">
      <c r="B82" s="9" t="s">
        <v>367</v>
      </c>
      <c r="C82" s="5">
        <f>SUMIF(Enero_2024[CATEGORÍA],$B82,Enero_2024[EGRESO])</f>
        <v>0</v>
      </c>
      <c r="D82" s="5">
        <f>SUMIF(Febrero_2024[CATEGORÍA],$B82,Febrero_2024[EGRESO])</f>
        <v>0</v>
      </c>
      <c r="E82" s="5">
        <f>SUMIF(Marzo_2024[CATEGORÍA],$B82,Marzo_2024[EGRESO])</f>
        <v>0</v>
      </c>
      <c r="F82" s="5">
        <f>SUMIF(Abril_2024[CATEGORÍA],$B82,Abril_2024[EGRESO])</f>
        <v>0</v>
      </c>
      <c r="G82" s="5">
        <f>SUMIF(Mayo_2024[CATEGORÍA],$B82,Mayo_2024[EGRESO])</f>
        <v>0</v>
      </c>
      <c r="H82" s="5">
        <f>SUMIF(Junio_2024[CATEGORÍA],$B82,Junio_2024[EGRESO])</f>
        <v>0</v>
      </c>
      <c r="I82" s="5">
        <f>SUMIF(Julio_2024[CATEGORÍA],$B82,Julio_2024[EGRESO])</f>
        <v>1566</v>
      </c>
      <c r="J82" s="5">
        <f>SUMIF(Agosto_2024[CATEGORÍA],$B82,Agosto_2024[EGRESO])</f>
        <v>1244</v>
      </c>
      <c r="K82" s="5">
        <f>SUMIF(Septiembre_2024[CATEGORÍA],$B82,Septiembre_2024[EGRESO])</f>
        <v>1265</v>
      </c>
      <c r="L82" s="5">
        <f>SUMIF(Octubre_2024[CATEGORÍA],$B82,Octubre_2024[EGRESO])</f>
        <v>0</v>
      </c>
      <c r="M82" s="5">
        <f>SUMIF(Noviembre_2024[CATEGORÍA],$B82,Noviembre_2024[EGRESO])</f>
        <v>0</v>
      </c>
      <c r="N82" s="5">
        <f>SUMIF(Diciembre_2024[CATEGORÍA],$B82,Diciembre_2024[EGRESO])</f>
        <v>0</v>
      </c>
      <c r="O82" s="12">
        <f t="shared" ref="O82" si="22">SUM(D82:N82)</f>
        <v>4075</v>
      </c>
    </row>
    <row r="83" spans="2:15" s="3" customFormat="1" ht="14.1" customHeight="1" x14ac:dyDescent="0.25">
      <c r="B83" s="9" t="s">
        <v>106</v>
      </c>
      <c r="C83" s="5">
        <f>SUMIF(Enero_2024[CATEGORÍA],$B83,Enero_2024[EGRESO])</f>
        <v>0</v>
      </c>
      <c r="D83" s="5">
        <f>SUMIF(Febrero_2024[CATEGORÍA],$B83,Febrero_2024[EGRESO])</f>
        <v>0</v>
      </c>
      <c r="E83" s="5">
        <f>SUMIF(Marzo_2024[CATEGORÍA],$B83,Marzo_2024[EGRESO])</f>
        <v>0</v>
      </c>
      <c r="F83" s="5">
        <f>SUMIF(Abril_2024[CATEGORÍA],$B83,Abril_2024[EGRESO])</f>
        <v>0</v>
      </c>
      <c r="G83" s="5">
        <f>SUMIF(Mayo_2024[CATEGORÍA],$B83,Mayo_2024[EGRESO])</f>
        <v>0</v>
      </c>
      <c r="H83" s="5">
        <f>SUMIF(Junio_2024[CATEGORÍA],$B83,Junio_2024[EGRESO])</f>
        <v>0</v>
      </c>
      <c r="I83" s="5">
        <f>SUMIF(Julio_2024[CATEGORÍA],$B83,Julio_2024[EGRESO])</f>
        <v>0</v>
      </c>
      <c r="J83" s="5">
        <f>SUMIF(Agosto_2024[CATEGORÍA],$B83,Agosto_2024[EGRESO])</f>
        <v>0</v>
      </c>
      <c r="K83" s="5">
        <f>SUMIF(Septiembre_2024[CATEGORÍA],$B83,Septiembre_2024[EGRESO])</f>
        <v>0</v>
      </c>
      <c r="L83" s="5">
        <f>SUMIF(Octubre_2024[CATEGORÍA],$B83,Octubre_2024[EGRESO])</f>
        <v>0</v>
      </c>
      <c r="M83" s="5">
        <f>SUMIF(Noviembre_2024[CATEGORÍA],$B83,Noviembre_2024[EGRESO])</f>
        <v>0</v>
      </c>
      <c r="N83" s="5">
        <f>SUMIF(Diciembre_2024[CATEGORÍA],$B83,Diciembre_2024[EGRESO])</f>
        <v>0</v>
      </c>
      <c r="O83" s="12">
        <f t="shared" ref="O83" si="23">SUM(D83:N83)</f>
        <v>0</v>
      </c>
    </row>
    <row r="84" spans="2:15" s="3" customFormat="1" ht="14.1" customHeight="1" x14ac:dyDescent="0.25">
      <c r="B84" s="9" t="s">
        <v>115</v>
      </c>
      <c r="C84" s="5">
        <f>SUMIF(Enero_2024[CATEGORÍA],$B84,Enero_2024[EGRESO])</f>
        <v>0</v>
      </c>
      <c r="D84" s="5">
        <f>SUMIF(Febrero_2024[CATEGORÍA],$B84,Febrero_2024[EGRESO])</f>
        <v>0</v>
      </c>
      <c r="E84" s="5">
        <f>SUMIF(Marzo_2024[CATEGORÍA],$B84,Marzo_2024[EGRESO])</f>
        <v>425</v>
      </c>
      <c r="F84" s="5">
        <f>SUMIF(Abril_2024[CATEGORÍA],$B84,Abril_2024[EGRESO])</f>
        <v>0</v>
      </c>
      <c r="G84" s="5">
        <f>SUMIF(Mayo_2024[CATEGORÍA],$B84,Mayo_2024[EGRESO])</f>
        <v>174.14</v>
      </c>
      <c r="H84" s="5">
        <f>SUMIF(Junio_2024[CATEGORÍA],$B84,Junio_2024[EGRESO])</f>
        <v>0</v>
      </c>
      <c r="I84" s="5">
        <f>SUMIF(Julio_2024[CATEGORÍA],$B84,Julio_2024[EGRESO])</f>
        <v>700</v>
      </c>
      <c r="J84" s="5">
        <f>SUMIF(Agosto_2024[CATEGORÍA],$B84,Agosto_2024[EGRESO])</f>
        <v>0</v>
      </c>
      <c r="K84" s="5">
        <f>SUMIF(Septiembre_2024[CATEGORÍA],$B84,Septiembre_2024[EGRESO])</f>
        <v>0</v>
      </c>
      <c r="L84" s="5">
        <f>SUMIF(Octubre_2024[CATEGORÍA],$B84,Octubre_2024[EGRESO])</f>
        <v>926</v>
      </c>
      <c r="M84" s="5">
        <f>SUMIF(Noviembre_2024[CATEGORÍA],$B84,Noviembre_2024[EGRESO])</f>
        <v>0</v>
      </c>
      <c r="N84" s="5">
        <f>SUMIF(Diciembre_2024[CATEGORÍA],$B84,Diciembre_2024[EGRESO])</f>
        <v>0</v>
      </c>
      <c r="O84" s="12">
        <f t="shared" ref="O84" si="24">SUM(D84:N84)</f>
        <v>2225.14</v>
      </c>
    </row>
    <row r="85" spans="2:15" s="3" customFormat="1" ht="14.1" customHeight="1" x14ac:dyDescent="0.25">
      <c r="B85" s="9" t="s">
        <v>118</v>
      </c>
      <c r="C85" s="5">
        <f>SUMIF(Enero_2024[CATEGORÍA],$B85,Enero_2024[EGRESO])</f>
        <v>0</v>
      </c>
      <c r="D85" s="5">
        <f>SUMIF(Febrero_2024[CATEGORÍA],$B85,Febrero_2024[EGRESO])</f>
        <v>0</v>
      </c>
      <c r="E85" s="5">
        <f>SUMIF(Marzo_2024[CATEGORÍA],$B85,Marzo_2024[EGRESO])</f>
        <v>0</v>
      </c>
      <c r="F85" s="5">
        <f>SUMIF(Abril_2024[CATEGORÍA],$B85,Abril_2024[EGRESO])</f>
        <v>0</v>
      </c>
      <c r="G85" s="5">
        <f>SUMIF(Mayo_2024[CATEGORÍA],$B85,Mayo_2024[EGRESO])</f>
        <v>0</v>
      </c>
      <c r="H85" s="5">
        <f>SUMIF(Junio_2024[CATEGORÍA],$B85,Junio_2024[EGRESO])</f>
        <v>0</v>
      </c>
      <c r="I85" s="5">
        <f>SUMIF(Julio_2024[CATEGORÍA],$B85,Julio_2024[EGRESO])</f>
        <v>0</v>
      </c>
      <c r="J85" s="5">
        <f>SUMIF(Agosto_2024[CATEGORÍA],$B85,Agosto_2024[EGRESO])</f>
        <v>0</v>
      </c>
      <c r="K85" s="5">
        <f>SUMIF(Septiembre_2024[CATEGORÍA],$B85,Septiembre_2024[EGRESO])</f>
        <v>0</v>
      </c>
      <c r="L85" s="5">
        <f>SUMIF(Octubre_2024[CATEGORÍA],$B85,Octubre_2024[EGRESO])</f>
        <v>0</v>
      </c>
      <c r="M85" s="5">
        <f>SUMIF(Noviembre_2024[CATEGORÍA],$B85,Noviembre_2024[EGRESO])</f>
        <v>0</v>
      </c>
      <c r="N85" s="5">
        <f>SUMIF(Diciembre_2024[CATEGORÍA],$B85,Diciembre_2024[EGRESO])</f>
        <v>0</v>
      </c>
      <c r="O85" s="12">
        <f t="shared" ref="O85" si="25">SUM(D85:N85)</f>
        <v>0</v>
      </c>
    </row>
    <row r="86" spans="2:15" s="3" customFormat="1" ht="14.1" customHeight="1" x14ac:dyDescent="0.25">
      <c r="B86" s="9" t="s">
        <v>90</v>
      </c>
      <c r="C86" s="5">
        <f>SUMIF(Enero_2024[CATEGORÍA],$B86,Enero_2024[EGRESO])</f>
        <v>462</v>
      </c>
      <c r="D86" s="5">
        <f>SUMIF(Febrero_2024[CATEGORÍA],$B86,Febrero_2024[EGRESO])</f>
        <v>0</v>
      </c>
      <c r="E86" s="5">
        <f>SUMIF(Marzo_2024[CATEGORÍA],$B86,Marzo_2024[EGRESO])</f>
        <v>0</v>
      </c>
      <c r="F86" s="5">
        <f>SUMIF(Abril_2024[CATEGORÍA],$B86,Abril_2024[EGRESO])</f>
        <v>0</v>
      </c>
      <c r="G86" s="5">
        <f>SUMIF(Mayo_2024[CATEGORÍA],$B86,Mayo_2024[EGRESO])</f>
        <v>0</v>
      </c>
      <c r="H86" s="5">
        <f>SUMIF(Junio_2024[CATEGORÍA],$B86,Junio_2024[EGRESO])</f>
        <v>0</v>
      </c>
      <c r="I86" s="5">
        <f>SUMIF(Julio_2024[CATEGORÍA],$B86,Julio_2024[EGRESO])</f>
        <v>0</v>
      </c>
      <c r="J86" s="5">
        <f>SUMIF(Agosto_2024[CATEGORÍA],$B86,Agosto_2024[EGRESO])</f>
        <v>0</v>
      </c>
      <c r="K86" s="5">
        <f>SUMIF(Septiembre_2024[CATEGORÍA],$B86,Septiembre_2024[EGRESO])</f>
        <v>0</v>
      </c>
      <c r="L86" s="5">
        <f>SUMIF(Octubre_2024[CATEGORÍA],$B86,Octubre_2024[EGRESO])</f>
        <v>0</v>
      </c>
      <c r="M86" s="5">
        <f>SUMIF(Noviembre_2024[CATEGORÍA],$B86,Noviembre_2024[EGRESO])</f>
        <v>0</v>
      </c>
      <c r="N86" s="5">
        <f>SUMIF(Diciembre_2024[CATEGORÍA],$B86,Diciembre_2024[EGRESO])</f>
        <v>0</v>
      </c>
      <c r="O86" s="12">
        <f t="shared" ref="O86:O92" si="26">SUM(D86:N86)</f>
        <v>0</v>
      </c>
    </row>
    <row r="87" spans="2:15" s="3" customFormat="1" ht="14.1" customHeight="1" x14ac:dyDescent="0.25">
      <c r="B87" s="9" t="s">
        <v>91</v>
      </c>
      <c r="C87" s="5">
        <f>SUMIF(Enero_2024[CATEGORÍA],$B87,Enero_2024[EGRESO])</f>
        <v>3892.5</v>
      </c>
      <c r="D87" s="5">
        <f>SUMIF(Febrero_2024[CATEGORÍA],$B87,Febrero_2024[EGRESO])</f>
        <v>0</v>
      </c>
      <c r="E87" s="5">
        <f>SUMIF(Marzo_2024[CATEGORÍA],$B87,Marzo_2024[EGRESO])</f>
        <v>5764</v>
      </c>
      <c r="F87" s="5">
        <f>SUMIF(Abril_2024[CATEGORÍA],$B87,Abril_2024[EGRESO])</f>
        <v>0</v>
      </c>
      <c r="G87" s="5">
        <f>SUMIF(Mayo_2024[CATEGORÍA],$B87,Mayo_2024[EGRESO])</f>
        <v>0</v>
      </c>
      <c r="H87" s="5">
        <f>SUMIF(Junio_2024[CATEGORÍA],$B87,Junio_2024[EGRESO])</f>
        <v>0</v>
      </c>
      <c r="I87" s="5">
        <f>SUMIF(Julio_2024[CATEGORÍA],$B87,Julio_2024[EGRESO])</f>
        <v>0</v>
      </c>
      <c r="J87" s="5">
        <f>SUMIF(Agosto_2024[CATEGORÍA],$B87,Agosto_2024[EGRESO])</f>
        <v>0</v>
      </c>
      <c r="K87" s="5">
        <f>SUMIF(Septiembre_2024[CATEGORÍA],$B87,Septiembre_2024[EGRESO])</f>
        <v>1375</v>
      </c>
      <c r="L87" s="5">
        <f>SUMIF(Octubre_2024[CATEGORÍA],$B87,Octubre_2024[EGRESO])</f>
        <v>0</v>
      </c>
      <c r="M87" s="5">
        <f>SUMIF(Noviembre_2024[CATEGORÍA],$B87,Noviembre_2024[EGRESO])</f>
        <v>0</v>
      </c>
      <c r="N87" s="5">
        <f>SUMIF(Diciembre_2024[CATEGORÍA],$B87,Diciembre_2024[EGRESO])</f>
        <v>0</v>
      </c>
      <c r="O87" s="12">
        <f t="shared" si="26"/>
        <v>7139</v>
      </c>
    </row>
    <row r="88" spans="2:15" s="3" customFormat="1" ht="14.1" customHeight="1" x14ac:dyDescent="0.25">
      <c r="B88" s="9" t="s">
        <v>109</v>
      </c>
      <c r="C88" s="5">
        <f>SUMIF(Enero_2024[CATEGORÍA],$B88,Enero_2024[EGRESO])</f>
        <v>0</v>
      </c>
      <c r="D88" s="5">
        <f>SUMIF(Febrero_2024[CATEGORÍA],$B88,Febrero_2024[EGRESO])</f>
        <v>820.19</v>
      </c>
      <c r="E88" s="5">
        <f>SUMIF(Marzo_2024[CATEGORÍA],$B88,Marzo_2024[EGRESO])</f>
        <v>370.65</v>
      </c>
      <c r="F88" s="5">
        <f>SUMIF(Abril_2024[CATEGORÍA],$B88,Abril_2024[EGRESO])</f>
        <v>0</v>
      </c>
      <c r="G88" s="5">
        <f>SUMIF(Mayo_2024[CATEGORÍA],$B88,Mayo_2024[EGRESO])</f>
        <v>180</v>
      </c>
      <c r="H88" s="5">
        <f>SUMIF(Junio_2024[CATEGORÍA],$B88,Junio_2024[EGRESO])</f>
        <v>477.52</v>
      </c>
      <c r="I88" s="5">
        <f>SUMIF(Julio_2024[CATEGORÍA],$B88,Julio_2024[EGRESO])</f>
        <v>0</v>
      </c>
      <c r="J88" s="5">
        <f>SUMIF(Agosto_2024[CATEGORÍA],$B88,Agosto_2024[EGRESO])</f>
        <v>576.65120000000002</v>
      </c>
      <c r="K88" s="5">
        <f>SUMIF(Septiembre_2024[CATEGORÍA],$B88,Septiembre_2024[EGRESO])</f>
        <v>0</v>
      </c>
      <c r="L88" s="5">
        <f>SUMIF(Octubre_2024[CATEGORÍA],$B88,Octubre_2024[EGRESO])</f>
        <v>0</v>
      </c>
      <c r="M88" s="5">
        <f>SUMIF(Noviembre_2024[CATEGORÍA],$B88,Noviembre_2024[EGRESO])</f>
        <v>0</v>
      </c>
      <c r="N88" s="5">
        <f>SUMIF(Diciembre_2024[CATEGORÍA],$B88,Diciembre_2024[EGRESO])</f>
        <v>0</v>
      </c>
      <c r="O88" s="12">
        <f t="shared" ref="O88" si="27">SUM(D88:N88)</f>
        <v>2425.0111999999999</v>
      </c>
    </row>
    <row r="89" spans="2:15" s="3" customFormat="1" ht="14.1" customHeight="1" x14ac:dyDescent="0.25">
      <c r="B89" s="9" t="s">
        <v>71</v>
      </c>
      <c r="C89" s="5">
        <f>SUMIF(Enero_2024[CATEGORÍA],$B89,Enero_2024[EGRESO])</f>
        <v>0</v>
      </c>
      <c r="D89" s="5">
        <f>SUMIF(Febrero_2024[CATEGORÍA],$B89,Febrero_2024[EGRESO])</f>
        <v>0</v>
      </c>
      <c r="E89" s="5">
        <f>SUMIF(Marzo_2024[CATEGORÍA],$B89,Marzo_2024[EGRESO])</f>
        <v>0</v>
      </c>
      <c r="F89" s="5">
        <f>SUMIF(Abril_2024[CATEGORÍA],$B89,Abril_2024[EGRESO])</f>
        <v>0</v>
      </c>
      <c r="G89" s="5">
        <f>SUMIF(Mayo_2024[CATEGORÍA],$B89,Mayo_2024[EGRESO])</f>
        <v>0</v>
      </c>
      <c r="H89" s="5">
        <f>SUMIF(Junio_2024[CATEGORÍA],$B89,Junio_2024[EGRESO])</f>
        <v>0</v>
      </c>
      <c r="I89" s="5">
        <f>SUMIF(Julio_2024[CATEGORÍA],$B89,Julio_2024[EGRESO])</f>
        <v>0</v>
      </c>
      <c r="J89" s="5">
        <f>SUMIF(Agosto_2024[CATEGORÍA],$B89,Agosto_2024[EGRESO])</f>
        <v>0</v>
      </c>
      <c r="K89" s="5">
        <f>SUMIF(Septiembre_2024[CATEGORÍA],$B89,Septiembre_2024[EGRESO])</f>
        <v>0</v>
      </c>
      <c r="L89" s="5">
        <f>SUMIF(Octubre_2024[CATEGORÍA],$B89,Octubre_2024[EGRESO])</f>
        <v>0</v>
      </c>
      <c r="M89" s="5">
        <f>SUMIF(Noviembre_2024[CATEGORÍA],$B89,Noviembre_2024[EGRESO])</f>
        <v>0</v>
      </c>
      <c r="N89" s="5">
        <f>SUMIF(Diciembre_2024[CATEGORÍA],$B89,Diciembre_2024[EGRESO])</f>
        <v>0</v>
      </c>
      <c r="O89" s="12">
        <f t="shared" si="26"/>
        <v>0</v>
      </c>
    </row>
    <row r="90" spans="2:15" s="3" customFormat="1" ht="14.1" customHeight="1" x14ac:dyDescent="0.25">
      <c r="B90" s="9" t="s">
        <v>52</v>
      </c>
      <c r="C90" s="5">
        <f>SUMIF(Enero_2024[CATEGORÍA],$B90,Enero_2024[EGRESO])</f>
        <v>0</v>
      </c>
      <c r="D90" s="5">
        <f>SUMIF(Febrero_2024[CATEGORÍA],$B90,Febrero_2024[EGRESO])</f>
        <v>0</v>
      </c>
      <c r="E90" s="5">
        <f>SUMIF(Marzo_2024[CATEGORÍA],$B90,Marzo_2024[EGRESO])</f>
        <v>0</v>
      </c>
      <c r="F90" s="5">
        <f>SUMIF(Abril_2024[CATEGORÍA],$B90,Abril_2024[EGRESO])</f>
        <v>0</v>
      </c>
      <c r="G90" s="5">
        <f>SUMIF(Mayo_2024[CATEGORÍA],$B90,Mayo_2024[EGRESO])</f>
        <v>0</v>
      </c>
      <c r="H90" s="5">
        <f>SUMIF(Junio_2024[CATEGORÍA],$B90,Junio_2024[EGRESO])</f>
        <v>0</v>
      </c>
      <c r="I90" s="5">
        <f>SUMIF(Julio_2024[CATEGORÍA],$B90,Julio_2024[EGRESO])</f>
        <v>0</v>
      </c>
      <c r="J90" s="5">
        <f>SUMIF(Agosto_2024[CATEGORÍA],$B90,Agosto_2024[EGRESO])</f>
        <v>0</v>
      </c>
      <c r="K90" s="5">
        <f>SUMIF(Septiembre_2024[CATEGORÍA],$B90,Septiembre_2024[EGRESO])</f>
        <v>3333.3333333333262</v>
      </c>
      <c r="L90" s="5">
        <f>SUMIF(Octubre_2024[CATEGORÍA],$B90,Octubre_2024[EGRESO])</f>
        <v>0</v>
      </c>
      <c r="M90" s="5">
        <f>SUMIF(Noviembre_2024[CATEGORÍA],$B90,Noviembre_2024[EGRESO])</f>
        <v>0</v>
      </c>
      <c r="N90" s="5">
        <f>SUMIF(Diciembre_2024[CATEGORÍA],$B90,Diciembre_2024[EGRESO])</f>
        <v>0</v>
      </c>
      <c r="O90" s="12">
        <f t="shared" si="26"/>
        <v>3333.3333333333262</v>
      </c>
    </row>
    <row r="91" spans="2:15" s="3" customFormat="1" ht="14.1" customHeight="1" x14ac:dyDescent="0.25">
      <c r="B91" s="9" t="s">
        <v>94</v>
      </c>
      <c r="C91" s="5">
        <f>SUMIF(Enero_2024[CATEGORÍA],$B91,Enero_2024[EGRESO])</f>
        <v>0</v>
      </c>
      <c r="D91" s="5">
        <f>SUMIF(Febrero_2024[CATEGORÍA],$B91,Febrero_2024[EGRESO])</f>
        <v>0</v>
      </c>
      <c r="E91" s="5">
        <f>SUMIF(Marzo_2024[CATEGORÍA],$B91,Marzo_2024[EGRESO])</f>
        <v>0</v>
      </c>
      <c r="F91" s="5">
        <f>SUMIF(Abril_2024[CATEGORÍA],$B91,Abril_2024[EGRESO])</f>
        <v>0</v>
      </c>
      <c r="G91" s="5">
        <f>SUMIF(Mayo_2024[CATEGORÍA],$B91,Mayo_2024[EGRESO])</f>
        <v>0</v>
      </c>
      <c r="H91" s="5">
        <f>SUMIF(Junio_2024[CATEGORÍA],$B91,Junio_2024[EGRESO])</f>
        <v>0</v>
      </c>
      <c r="I91" s="5">
        <f>SUMIF(Julio_2024[CATEGORÍA],$B91,Julio_2024[EGRESO])</f>
        <v>0</v>
      </c>
      <c r="J91" s="5">
        <f>SUMIF(Agosto_2024[CATEGORÍA],$B91,Agosto_2024[EGRESO])</f>
        <v>795.88499999999999</v>
      </c>
      <c r="K91" s="5">
        <f>SUMIF(Septiembre_2024[CATEGORÍA],$B91,Septiembre_2024[EGRESO])</f>
        <v>0</v>
      </c>
      <c r="L91" s="5">
        <f>SUMIF(Octubre_2024[CATEGORÍA],$B91,Octubre_2024[EGRESO])</f>
        <v>0</v>
      </c>
      <c r="M91" s="5">
        <f>SUMIF(Noviembre_2024[CATEGORÍA],$B91,Noviembre_2024[EGRESO])</f>
        <v>0</v>
      </c>
      <c r="N91" s="5">
        <f>SUMIF(Diciembre_2024[CATEGORÍA],$B91,Diciembre_2024[EGRESO])</f>
        <v>0</v>
      </c>
      <c r="O91" s="12">
        <f t="shared" si="26"/>
        <v>795.88499999999999</v>
      </c>
    </row>
    <row r="92" spans="2:15" s="3" customFormat="1" ht="14.1" customHeight="1" x14ac:dyDescent="0.25">
      <c r="B92" s="9" t="s">
        <v>53</v>
      </c>
      <c r="C92" s="5">
        <f>SUMIF(Enero_2024[CATEGORÍA],$B92,Enero_2024[EGRESO])</f>
        <v>0</v>
      </c>
      <c r="D92" s="5">
        <f>SUMIF(Febrero_2024[CATEGORÍA],$B92,Febrero_2024[EGRESO])</f>
        <v>0</v>
      </c>
      <c r="E92" s="5">
        <f>SUMIF(Marzo_2024[CATEGORÍA],$B92,Marzo_2024[EGRESO])</f>
        <v>0</v>
      </c>
      <c r="F92" s="5">
        <f>SUMIF(Abril_2024[CATEGORÍA],$B92,Abril_2024[EGRESO])</f>
        <v>0</v>
      </c>
      <c r="G92" s="5">
        <f>SUMIF(Mayo_2024[CATEGORÍA],$B92,Mayo_2024[EGRESO])</f>
        <v>0</v>
      </c>
      <c r="H92" s="5">
        <f>SUMIF(Junio_2024[CATEGORÍA],$B92,Junio_2024[EGRESO])</f>
        <v>0</v>
      </c>
      <c r="I92" s="5">
        <f>SUMIF(Julio_2024[CATEGORÍA],$B92,Julio_2024[EGRESO])</f>
        <v>0</v>
      </c>
      <c r="J92" s="5">
        <f>SUMIF(Agosto_2024[CATEGORÍA],$B92,Agosto_2024[EGRESO])</f>
        <v>0</v>
      </c>
      <c r="K92" s="5">
        <f>SUMIF(Septiembre_2024[CATEGORÍA],$B92,Septiembre_2024[EGRESO])</f>
        <v>0</v>
      </c>
      <c r="L92" s="5">
        <f>SUMIF(Octubre_2024[CATEGORÍA],$B92,Octubre_2024[EGRESO])</f>
        <v>0</v>
      </c>
      <c r="M92" s="5">
        <f>SUMIF(Noviembre_2024[CATEGORÍA],$B92,Noviembre_2024[EGRESO])</f>
        <v>0</v>
      </c>
      <c r="N92" s="5">
        <f>SUMIF(Diciembre_2024[CATEGORÍA],$B92,Diciembre_2024[EGRESO])</f>
        <v>0</v>
      </c>
      <c r="O92" s="12">
        <f t="shared" si="26"/>
        <v>0</v>
      </c>
    </row>
    <row r="93" spans="2:15" s="3" customFormat="1" ht="14.1" customHeight="1" x14ac:dyDescent="0.25">
      <c r="B93" s="9"/>
      <c r="C93" s="20">
        <f t="shared" ref="C93:O93" si="28">SUM(C78:C92)</f>
        <v>6993.5</v>
      </c>
      <c r="D93" s="20">
        <f t="shared" si="28"/>
        <v>4142.6900000000005</v>
      </c>
      <c r="E93" s="20">
        <f t="shared" si="28"/>
        <v>31323.15</v>
      </c>
      <c r="F93" s="20">
        <f t="shared" si="28"/>
        <v>4445</v>
      </c>
      <c r="G93" s="20">
        <f t="shared" si="28"/>
        <v>10281.14</v>
      </c>
      <c r="H93" s="20">
        <f t="shared" si="28"/>
        <v>7902.52</v>
      </c>
      <c r="I93" s="20">
        <f t="shared" si="28"/>
        <v>13218.5</v>
      </c>
      <c r="J93" s="20">
        <f t="shared" si="28"/>
        <v>18577.536199999999</v>
      </c>
      <c r="K93" s="20">
        <f t="shared" si="28"/>
        <v>15083.833333333327</v>
      </c>
      <c r="L93" s="20">
        <f t="shared" si="28"/>
        <v>14001</v>
      </c>
      <c r="M93" s="20">
        <f t="shared" si="28"/>
        <v>0</v>
      </c>
      <c r="N93" s="20">
        <f t="shared" si="28"/>
        <v>0</v>
      </c>
      <c r="O93" s="20">
        <f t="shared" si="28"/>
        <v>118975.36953333332</v>
      </c>
    </row>
    <row r="94" spans="2:15" s="3" customFormat="1" ht="14.1" customHeight="1" x14ac:dyDescent="0.25">
      <c r="B94" s="9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11"/>
    </row>
    <row r="95" spans="2:15" s="3" customFormat="1" ht="14.1" customHeight="1" x14ac:dyDescent="0.25">
      <c r="B95" s="24" t="s">
        <v>8</v>
      </c>
      <c r="C95" s="25">
        <f t="shared" ref="C95:O95" si="29">C93+C76+C67+C56</f>
        <v>34415.879523809526</v>
      </c>
      <c r="D95" s="25">
        <f t="shared" si="29"/>
        <v>36581.15</v>
      </c>
      <c r="E95" s="25">
        <f t="shared" si="29"/>
        <v>72314.149999999994</v>
      </c>
      <c r="F95" s="25">
        <f t="shared" si="29"/>
        <v>30745</v>
      </c>
      <c r="G95" s="25">
        <f t="shared" si="29"/>
        <v>35741.14</v>
      </c>
      <c r="H95" s="25">
        <f t="shared" si="29"/>
        <v>34111.520000000004</v>
      </c>
      <c r="I95" s="25">
        <f t="shared" si="29"/>
        <v>45890.18</v>
      </c>
      <c r="J95" s="25">
        <f t="shared" si="29"/>
        <v>83017.536200000002</v>
      </c>
      <c r="K95" s="25">
        <f t="shared" si="29"/>
        <v>55430.833333333314</v>
      </c>
      <c r="L95" s="25">
        <f t="shared" si="29"/>
        <v>14069</v>
      </c>
      <c r="M95" s="25">
        <f t="shared" si="29"/>
        <v>0</v>
      </c>
      <c r="N95" s="25">
        <f t="shared" si="29"/>
        <v>0</v>
      </c>
      <c r="O95" s="25">
        <f t="shared" si="29"/>
        <v>407900.5095333333</v>
      </c>
    </row>
    <row r="96" spans="2:15" ht="11.1" customHeight="1" x14ac:dyDescent="0.25"/>
    <row r="97" ht="14.1" customHeight="1" x14ac:dyDescent="0.25"/>
    <row r="98" ht="11.1" customHeight="1" x14ac:dyDescent="0.25"/>
    <row r="99" ht="18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11.1" customHeight="1" x14ac:dyDescent="0.25"/>
  </sheetData>
  <mergeCells count="1">
    <mergeCell ref="C1:E1"/>
  </mergeCells>
  <pageMargins left="0.3" right="0.3" top="0.3" bottom="0.3" header="0" footer="0"/>
  <pageSetup scale="43" fitToHeight="0" orientation="landscape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138E-A6D0-4B72-BB5A-3090C33E053C}">
  <dimension ref="B2:F16"/>
  <sheetViews>
    <sheetView workbookViewId="0">
      <selection activeCell="C5" sqref="C5"/>
    </sheetView>
  </sheetViews>
  <sheetFormatPr defaultRowHeight="15.75" x14ac:dyDescent="0.25"/>
  <cols>
    <col min="2" max="2" width="19.375" bestFit="1" customWidth="1"/>
    <col min="6" max="6" width="15.5" style="29" customWidth="1"/>
  </cols>
  <sheetData>
    <row r="2" spans="2:6" x14ac:dyDescent="0.25">
      <c r="B2" s="30" t="s">
        <v>24</v>
      </c>
      <c r="C2" s="30"/>
      <c r="D2" s="30"/>
      <c r="E2" s="30"/>
      <c r="F2" s="31">
        <f>SUM(F3:F4)</f>
        <v>0</v>
      </c>
    </row>
    <row r="3" spans="2:6" x14ac:dyDescent="0.25">
      <c r="B3" t="s">
        <v>22</v>
      </c>
      <c r="F3" s="29">
        <v>0</v>
      </c>
    </row>
    <row r="4" spans="2:6" x14ac:dyDescent="0.25">
      <c r="B4" t="s">
        <v>23</v>
      </c>
      <c r="F4" s="29">
        <v>0</v>
      </c>
    </row>
    <row r="5" spans="2:6" x14ac:dyDescent="0.25">
      <c r="B5" t="s">
        <v>150</v>
      </c>
    </row>
    <row r="6" spans="2:6" x14ac:dyDescent="0.25">
      <c r="B6" s="30" t="s">
        <v>25</v>
      </c>
      <c r="C6" s="30"/>
      <c r="D6" s="30"/>
      <c r="E6" s="30"/>
      <c r="F6" s="31">
        <f>SUM(F7:F8)</f>
        <v>0</v>
      </c>
    </row>
    <row r="7" spans="2:6" x14ac:dyDescent="0.25">
      <c r="F7" s="29">
        <v>0</v>
      </c>
    </row>
    <row r="8" spans="2:6" x14ac:dyDescent="0.25">
      <c r="F8" s="29">
        <v>0</v>
      </c>
    </row>
    <row r="10" spans="2:6" x14ac:dyDescent="0.25">
      <c r="B10" s="30" t="s">
        <v>26</v>
      </c>
      <c r="C10" s="30"/>
      <c r="D10" s="30"/>
      <c r="E10" s="30"/>
      <c r="F10" s="31">
        <f>SUM(F11:F12)</f>
        <v>0</v>
      </c>
    </row>
    <row r="11" spans="2:6" x14ac:dyDescent="0.25">
      <c r="F11" s="29">
        <v>0</v>
      </c>
    </row>
    <row r="12" spans="2:6" x14ac:dyDescent="0.25">
      <c r="F12" s="29">
        <v>0</v>
      </c>
    </row>
    <row r="14" spans="2:6" x14ac:dyDescent="0.25">
      <c r="B14" s="30" t="s">
        <v>27</v>
      </c>
      <c r="C14" s="30"/>
      <c r="D14" s="30"/>
      <c r="E14" s="30"/>
      <c r="F14" s="31">
        <f>SUM(F15:F16)</f>
        <v>0</v>
      </c>
    </row>
    <row r="15" spans="2:6" x14ac:dyDescent="0.25">
      <c r="F15" s="29">
        <v>0</v>
      </c>
    </row>
    <row r="16" spans="2:6" x14ac:dyDescent="0.25">
      <c r="F16" s="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5373-E417-48E8-A6AD-96064CAC6E7B}">
  <dimension ref="A1:P1704"/>
  <sheetViews>
    <sheetView tabSelected="1" topLeftCell="A498" zoomScale="85" zoomScaleNormal="85" workbookViewId="0">
      <selection activeCell="K508" sqref="K508:K514"/>
    </sheetView>
  </sheetViews>
  <sheetFormatPr defaultRowHeight="15.75" x14ac:dyDescent="0.25"/>
  <cols>
    <col min="2" max="2" width="19.625" customWidth="1"/>
    <col min="3" max="3" width="11.75" style="34" bestFit="1" customWidth="1"/>
    <col min="4" max="4" width="15.5" customWidth="1"/>
    <col min="5" max="5" width="15.5" style="35" customWidth="1"/>
    <col min="6" max="6" width="54.125" bestFit="1" customWidth="1"/>
    <col min="7" max="7" width="13.625" style="32" customWidth="1"/>
    <col min="8" max="8" width="22.625" style="32" bestFit="1" customWidth="1"/>
    <col min="9" max="9" width="44.5" bestFit="1" customWidth="1"/>
    <col min="10" max="10" width="39" style="32" customWidth="1"/>
    <col min="11" max="11" width="15.25" customWidth="1"/>
    <col min="12" max="12" width="14.875" bestFit="1" customWidth="1"/>
  </cols>
  <sheetData>
    <row r="1" spans="1:16" x14ac:dyDescent="0.25">
      <c r="C1" s="32"/>
      <c r="E1"/>
    </row>
    <row r="2" spans="1:16" ht="35.1" customHeight="1" x14ac:dyDescent="0.25">
      <c r="A2" s="74" t="s">
        <v>15</v>
      </c>
      <c r="B2" s="75"/>
      <c r="C2" s="33"/>
      <c r="D2" s="26"/>
      <c r="E2" s="26"/>
      <c r="F2" s="26"/>
      <c r="G2" s="33"/>
      <c r="H2" s="33"/>
      <c r="I2" s="26"/>
      <c r="J2" s="33"/>
      <c r="K2" s="26"/>
      <c r="L2" s="26"/>
      <c r="M2" s="26"/>
      <c r="N2" s="26"/>
      <c r="O2" s="26"/>
      <c r="P2" s="27"/>
    </row>
    <row r="3" spans="1:16" x14ac:dyDescent="0.25">
      <c r="C3" s="32"/>
      <c r="E3"/>
    </row>
    <row r="4" spans="1:16" x14ac:dyDescent="0.25">
      <c r="B4" s="76" t="s">
        <v>120</v>
      </c>
      <c r="C4" s="77"/>
      <c r="D4" s="77"/>
      <c r="E4" s="77"/>
      <c r="F4" s="77"/>
      <c r="G4" s="77"/>
      <c r="H4" s="77"/>
      <c r="I4" s="77"/>
      <c r="J4" s="77"/>
      <c r="K4" s="77"/>
      <c r="L4" s="77"/>
    </row>
    <row r="5" spans="1:16" x14ac:dyDescent="0.25">
      <c r="B5" s="36" t="s">
        <v>16</v>
      </c>
      <c r="C5" s="37" t="s">
        <v>17</v>
      </c>
      <c r="D5" s="46" t="s">
        <v>73</v>
      </c>
      <c r="E5" s="46" t="s">
        <v>74</v>
      </c>
      <c r="F5" s="37" t="s">
        <v>54</v>
      </c>
      <c r="G5" s="37" t="s">
        <v>76</v>
      </c>
      <c r="H5" s="37" t="s">
        <v>77</v>
      </c>
      <c r="I5" s="37" t="s">
        <v>75</v>
      </c>
      <c r="J5" s="37" t="s">
        <v>18</v>
      </c>
      <c r="K5" s="37" t="s">
        <v>64</v>
      </c>
      <c r="L5" s="37" t="s">
        <v>19</v>
      </c>
    </row>
    <row r="6" spans="1:16" x14ac:dyDescent="0.25">
      <c r="B6" s="38" t="s">
        <v>22</v>
      </c>
      <c r="C6" s="44">
        <v>45293</v>
      </c>
      <c r="D6" s="35"/>
      <c r="E6" s="35">
        <v>1492.81</v>
      </c>
      <c r="F6" s="61" t="s">
        <v>110</v>
      </c>
      <c r="G6" s="41" t="s">
        <v>107</v>
      </c>
      <c r="H6" s="41" t="s">
        <v>78</v>
      </c>
      <c r="I6" s="42" t="s">
        <v>132</v>
      </c>
      <c r="J6" s="41" t="s">
        <v>91</v>
      </c>
      <c r="K6" s="40"/>
      <c r="L6" s="28">
        <f ca="1">IF(ISERROR(OFFSET(L6,-1,0,1,1)+D6-E6),D6-E6,OFFSET(L6,-1,0,1,1)+D6-E6)</f>
        <v>-1492.81</v>
      </c>
    </row>
    <row r="7" spans="1:16" x14ac:dyDescent="0.25">
      <c r="B7" s="38" t="s">
        <v>23</v>
      </c>
      <c r="C7" s="44">
        <v>45295</v>
      </c>
      <c r="D7" s="35"/>
      <c r="E7" s="35">
        <v>356.666666666666</v>
      </c>
      <c r="F7" s="61" t="s">
        <v>133</v>
      </c>
      <c r="G7" s="41" t="s">
        <v>80</v>
      </c>
      <c r="H7" s="41" t="s">
        <v>78</v>
      </c>
      <c r="I7" s="42" t="s">
        <v>134</v>
      </c>
      <c r="J7" s="41" t="s">
        <v>85</v>
      </c>
      <c r="K7" s="41"/>
      <c r="L7" s="28">
        <f ca="1">IF(ISERROR(OFFSET(L7,-1,0,1,1)+D7-E7),D7-E7,OFFSET(L7,-1,0,1,1)+D7-E7)</f>
        <v>-1849.476666666666</v>
      </c>
    </row>
    <row r="8" spans="1:16" x14ac:dyDescent="0.25">
      <c r="B8" s="38" t="s">
        <v>23</v>
      </c>
      <c r="C8" s="44">
        <v>45661</v>
      </c>
      <c r="E8" s="35">
        <v>4137.1428571428596</v>
      </c>
      <c r="F8" s="61" t="s">
        <v>96</v>
      </c>
      <c r="G8" s="41" t="s">
        <v>80</v>
      </c>
      <c r="H8" s="41" t="s">
        <v>108</v>
      </c>
      <c r="J8" s="41" t="s">
        <v>65</v>
      </c>
      <c r="K8" s="40"/>
      <c r="L8" s="28">
        <f ca="1">IF(ISERROR(OFFSET(L8,-1,0,1,1)+'[1]Entradas y Salidas'!D9-'[1]Entradas y Salidas'!E9),'[1]Entradas y Salidas'!D9-'[1]Entradas y Salidas'!E9,OFFSET(L8,-1,0,1,1)+'[1]Entradas y Salidas'!D9-'[1]Entradas y Salidas'!E9)</f>
        <v>-2349.476666666666</v>
      </c>
    </row>
    <row r="9" spans="1:16" x14ac:dyDescent="0.25">
      <c r="B9" s="38" t="s">
        <v>23</v>
      </c>
      <c r="C9" s="44">
        <v>45661</v>
      </c>
      <c r="D9" s="35"/>
      <c r="E9" s="35">
        <v>3420</v>
      </c>
      <c r="F9" s="67" t="s">
        <v>97</v>
      </c>
      <c r="G9" s="41" t="s">
        <v>80</v>
      </c>
      <c r="H9" s="41" t="s">
        <v>108</v>
      </c>
      <c r="I9" s="42"/>
      <c r="J9" s="41" t="s">
        <v>65</v>
      </c>
      <c r="K9" s="40"/>
      <c r="L9" s="28">
        <f t="shared" ref="L9:L46" ca="1" si="0">IF(ISERROR(OFFSET(L9,-1,0,1,1)+D9-E9),D9-E9,OFFSET(L9,-1,0,1,1)+D9-E9)</f>
        <v>-5769.4766666666656</v>
      </c>
    </row>
    <row r="10" spans="1:16" x14ac:dyDescent="0.25">
      <c r="B10" s="38" t="s">
        <v>23</v>
      </c>
      <c r="C10" s="44">
        <v>45661</v>
      </c>
      <c r="D10" s="35"/>
      <c r="E10" s="35">
        <v>200</v>
      </c>
      <c r="F10" s="68" t="s">
        <v>97</v>
      </c>
      <c r="G10" s="41" t="s">
        <v>80</v>
      </c>
      <c r="H10" s="41" t="s">
        <v>135</v>
      </c>
      <c r="I10" s="42"/>
      <c r="J10" s="41" t="s">
        <v>48</v>
      </c>
      <c r="K10" s="40"/>
      <c r="L10" s="28">
        <f t="shared" ca="1" si="0"/>
        <v>-5969.4766666666656</v>
      </c>
    </row>
    <row r="11" spans="1:16" x14ac:dyDescent="0.25">
      <c r="B11" s="38" t="s">
        <v>23</v>
      </c>
      <c r="C11" s="44">
        <v>45661</v>
      </c>
      <c r="D11" s="35"/>
      <c r="E11" s="35">
        <v>1968.57</v>
      </c>
      <c r="F11" s="68" t="s">
        <v>98</v>
      </c>
      <c r="G11" s="41" t="s">
        <v>80</v>
      </c>
      <c r="H11" s="41" t="s">
        <v>108</v>
      </c>
      <c r="I11" s="42"/>
      <c r="J11" s="41" t="s">
        <v>65</v>
      </c>
      <c r="K11" s="40"/>
      <c r="L11" s="28">
        <f t="shared" ca="1" si="0"/>
        <v>-7938.0466666666653</v>
      </c>
    </row>
    <row r="12" spans="1:16" x14ac:dyDescent="0.25">
      <c r="B12" s="38" t="s">
        <v>23</v>
      </c>
      <c r="C12" s="44">
        <v>45661</v>
      </c>
      <c r="D12" s="35"/>
      <c r="E12" s="35">
        <v>200</v>
      </c>
      <c r="F12" s="67" t="s">
        <v>98</v>
      </c>
      <c r="G12" s="41" t="s">
        <v>80</v>
      </c>
      <c r="H12" s="41" t="s">
        <v>135</v>
      </c>
      <c r="I12" s="42"/>
      <c r="J12" s="41" t="s">
        <v>48</v>
      </c>
      <c r="K12" s="40"/>
      <c r="L12" s="28">
        <f t="shared" ca="1" si="0"/>
        <v>-8138.0466666666653</v>
      </c>
    </row>
    <row r="13" spans="1:16" x14ac:dyDescent="0.25">
      <c r="B13" s="38" t="s">
        <v>23</v>
      </c>
      <c r="C13" s="44">
        <v>45661</v>
      </c>
      <c r="D13" s="35"/>
      <c r="E13" s="35">
        <v>900</v>
      </c>
      <c r="F13" s="67" t="s">
        <v>79</v>
      </c>
      <c r="G13" s="41" t="s">
        <v>80</v>
      </c>
      <c r="H13" s="41" t="s">
        <v>108</v>
      </c>
      <c r="I13" s="42"/>
      <c r="J13" s="41" t="s">
        <v>65</v>
      </c>
      <c r="K13" s="40"/>
      <c r="L13" s="28">
        <f t="shared" ca="1" si="0"/>
        <v>-9038.0466666666653</v>
      </c>
    </row>
    <row r="14" spans="1:16" x14ac:dyDescent="0.25">
      <c r="B14" s="38" t="s">
        <v>23</v>
      </c>
      <c r="C14" s="44">
        <v>45661</v>
      </c>
      <c r="D14" s="35"/>
      <c r="E14" s="35">
        <v>200</v>
      </c>
      <c r="F14" s="67" t="s">
        <v>79</v>
      </c>
      <c r="G14" s="41" t="s">
        <v>80</v>
      </c>
      <c r="H14" s="41" t="s">
        <v>135</v>
      </c>
      <c r="I14" s="42"/>
      <c r="J14" s="41" t="s">
        <v>48</v>
      </c>
      <c r="K14" s="40"/>
      <c r="L14" s="28">
        <f t="shared" ca="1" si="0"/>
        <v>-9238.0466666666653</v>
      </c>
    </row>
    <row r="15" spans="1:16" x14ac:dyDescent="0.25">
      <c r="B15" s="38" t="s">
        <v>23</v>
      </c>
      <c r="C15" s="44">
        <v>45661</v>
      </c>
      <c r="D15" s="35"/>
      <c r="E15" s="35">
        <v>2400</v>
      </c>
      <c r="F15" s="68" t="s">
        <v>114</v>
      </c>
      <c r="G15" s="41" t="s">
        <v>80</v>
      </c>
      <c r="H15" s="41" t="s">
        <v>108</v>
      </c>
      <c r="I15" s="42"/>
      <c r="J15" s="41" t="s">
        <v>65</v>
      </c>
      <c r="K15" s="40"/>
      <c r="L15" s="28">
        <f t="shared" ca="1" si="0"/>
        <v>-11638.046666666665</v>
      </c>
    </row>
    <row r="16" spans="1:16" x14ac:dyDescent="0.25">
      <c r="B16" s="38" t="s">
        <v>23</v>
      </c>
      <c r="C16" s="44">
        <v>45661</v>
      </c>
      <c r="D16" s="35"/>
      <c r="E16" s="35">
        <v>400</v>
      </c>
      <c r="F16" s="68" t="s">
        <v>114</v>
      </c>
      <c r="G16" s="41" t="s">
        <v>80</v>
      </c>
      <c r="H16" s="41" t="s">
        <v>135</v>
      </c>
      <c r="I16" s="42"/>
      <c r="J16" s="41" t="s">
        <v>48</v>
      </c>
      <c r="K16" s="40"/>
      <c r="L16" s="28">
        <f t="shared" ca="1" si="0"/>
        <v>-12038.046666666665</v>
      </c>
    </row>
    <row r="17" spans="2:12" x14ac:dyDescent="0.25">
      <c r="B17" s="38" t="s">
        <v>23</v>
      </c>
      <c r="C17" s="44">
        <v>45666</v>
      </c>
      <c r="D17" s="35"/>
      <c r="E17" s="35">
        <v>2639</v>
      </c>
      <c r="F17" s="67" t="s">
        <v>144</v>
      </c>
      <c r="G17" s="41" t="s">
        <v>145</v>
      </c>
      <c r="H17" s="41" t="s">
        <v>78</v>
      </c>
      <c r="I17" s="69" t="s">
        <v>146</v>
      </c>
      <c r="J17" s="41" t="s">
        <v>103</v>
      </c>
      <c r="K17" s="40"/>
      <c r="L17" s="28">
        <f ca="1">IF(ISERROR(OFFSET(L17,-1,0,1,1)+D17-E17),D17-E17,OFFSET(L17,-1,0,1,1)+D17-E17)</f>
        <v>-14677.046666666665</v>
      </c>
    </row>
    <row r="18" spans="2:12" x14ac:dyDescent="0.25">
      <c r="B18" s="38" t="s">
        <v>23</v>
      </c>
      <c r="C18" s="44">
        <v>45666</v>
      </c>
      <c r="D18" s="35"/>
      <c r="E18" s="35">
        <v>600</v>
      </c>
      <c r="F18" s="67" t="s">
        <v>142</v>
      </c>
      <c r="G18" s="41" t="s">
        <v>80</v>
      </c>
      <c r="H18" s="41" t="s">
        <v>78</v>
      </c>
      <c r="I18" s="69" t="s">
        <v>143</v>
      </c>
      <c r="J18" s="41" t="s">
        <v>91</v>
      </c>
      <c r="K18" s="40"/>
      <c r="L18" s="28">
        <f ca="1">IF(ISERROR(OFFSET(L18,-1,0,1,1)+D18-E18),D18-E18,OFFSET(L18,-1,0,1,1)+D18-E18)</f>
        <v>-15277.046666666665</v>
      </c>
    </row>
    <row r="19" spans="2:12" x14ac:dyDescent="0.25">
      <c r="B19" s="38" t="s">
        <v>23</v>
      </c>
      <c r="C19" s="44">
        <v>45667</v>
      </c>
      <c r="D19" s="35"/>
      <c r="E19" s="35">
        <v>682.19</v>
      </c>
      <c r="F19" s="67" t="s">
        <v>110</v>
      </c>
      <c r="G19" s="41" t="s">
        <v>151</v>
      </c>
      <c r="H19" s="41" t="s">
        <v>78</v>
      </c>
      <c r="I19" s="69" t="s">
        <v>152</v>
      </c>
      <c r="J19" s="41" t="s">
        <v>91</v>
      </c>
      <c r="K19" s="40"/>
      <c r="L19" s="28">
        <f ca="1">IF(ISERROR(OFFSET(L19,-1,0,1,1)+D19-E19),D19-E19,OFFSET(L19,-1,0,1,1)+D19-E19)</f>
        <v>-15959.236666666666</v>
      </c>
    </row>
    <row r="20" spans="2:12" x14ac:dyDescent="0.25">
      <c r="B20" s="38" t="s">
        <v>23</v>
      </c>
      <c r="C20" s="44">
        <v>45670</v>
      </c>
      <c r="D20" s="35">
        <v>1200</v>
      </c>
      <c r="F20" s="68" t="s">
        <v>139</v>
      </c>
      <c r="G20" s="41" t="s">
        <v>80</v>
      </c>
      <c r="H20" s="41" t="s">
        <v>140</v>
      </c>
      <c r="I20" s="69" t="s">
        <v>141</v>
      </c>
      <c r="J20" s="41" t="s">
        <v>99</v>
      </c>
      <c r="K20" s="40"/>
      <c r="L20" s="28">
        <f ca="1">IF(ISERROR(OFFSET(L20,-1,0,1,1)+D20-E20),D20-E20,OFFSET(L20,-1,0,1,1)+D20-E20)</f>
        <v>-14759.236666666666</v>
      </c>
    </row>
    <row r="21" spans="2:12" x14ac:dyDescent="0.25">
      <c r="B21" s="38" t="s">
        <v>22</v>
      </c>
      <c r="C21" s="44">
        <v>45670</v>
      </c>
      <c r="D21" s="35">
        <v>8100</v>
      </c>
      <c r="F21" s="68" t="s">
        <v>136</v>
      </c>
      <c r="G21" s="41" t="s">
        <v>80</v>
      </c>
      <c r="H21" s="41" t="s">
        <v>138</v>
      </c>
      <c r="I21" s="69" t="s">
        <v>137</v>
      </c>
      <c r="J21" s="41" t="s">
        <v>99</v>
      </c>
      <c r="K21" s="40"/>
      <c r="L21" s="28">
        <f ca="1">IF(ISERROR(OFFSET(L21,-1,0,1,1)+D21-E21),D21-E21,OFFSET(L21,-1,0,1,1)+D21-E21)</f>
        <v>-6659.2366666666658</v>
      </c>
    </row>
    <row r="22" spans="2:12" x14ac:dyDescent="0.25">
      <c r="B22" s="38" t="s">
        <v>23</v>
      </c>
      <c r="C22" s="44">
        <v>45671</v>
      </c>
      <c r="D22" s="35"/>
      <c r="E22" s="35">
        <v>462</v>
      </c>
      <c r="F22" s="68" t="s">
        <v>147</v>
      </c>
      <c r="G22" s="41" t="s">
        <v>148</v>
      </c>
      <c r="H22" s="41" t="s">
        <v>78</v>
      </c>
      <c r="I22" s="69" t="s">
        <v>149</v>
      </c>
      <c r="J22" s="41" t="s">
        <v>90</v>
      </c>
      <c r="K22" s="40"/>
      <c r="L22" s="28">
        <f t="shared" ca="1" si="0"/>
        <v>-7121.2366666666658</v>
      </c>
    </row>
    <row r="23" spans="2:12" x14ac:dyDescent="0.25">
      <c r="B23" s="38" t="s">
        <v>23</v>
      </c>
      <c r="C23" s="44">
        <v>45675</v>
      </c>
      <c r="E23" s="35">
        <v>4480</v>
      </c>
      <c r="F23" s="68" t="s">
        <v>96</v>
      </c>
      <c r="G23" s="41" t="s">
        <v>80</v>
      </c>
      <c r="H23" s="41" t="s">
        <v>108</v>
      </c>
      <c r="J23" s="41" t="s">
        <v>65</v>
      </c>
      <c r="K23" s="40"/>
      <c r="L23" s="28">
        <f t="shared" ca="1" si="0"/>
        <v>-11601.236666666666</v>
      </c>
    </row>
    <row r="24" spans="2:12" x14ac:dyDescent="0.25">
      <c r="B24" s="38" t="s">
        <v>23</v>
      </c>
      <c r="C24" s="44">
        <v>45675</v>
      </c>
      <c r="D24" s="35"/>
      <c r="E24" s="35">
        <v>3520</v>
      </c>
      <c r="F24" s="67" t="s">
        <v>97</v>
      </c>
      <c r="G24" s="41" t="s">
        <v>80</v>
      </c>
      <c r="H24" s="41" t="s">
        <v>108</v>
      </c>
      <c r="I24" s="42"/>
      <c r="J24" s="41" t="s">
        <v>65</v>
      </c>
      <c r="K24" s="40"/>
      <c r="L24" s="28">
        <f t="shared" ca="1" si="0"/>
        <v>-15121.236666666666</v>
      </c>
    </row>
    <row r="25" spans="2:12" x14ac:dyDescent="0.25">
      <c r="B25" s="38" t="s">
        <v>23</v>
      </c>
      <c r="C25" s="44">
        <v>45675</v>
      </c>
      <c r="D25" s="35"/>
      <c r="E25" s="35">
        <v>400</v>
      </c>
      <c r="F25" s="68" t="s">
        <v>97</v>
      </c>
      <c r="G25" s="41" t="s">
        <v>80</v>
      </c>
      <c r="H25" s="41" t="s">
        <v>135</v>
      </c>
      <c r="I25" s="42"/>
      <c r="J25" s="41" t="s">
        <v>48</v>
      </c>
      <c r="K25" s="40"/>
      <c r="L25" s="28">
        <f t="shared" ca="1" si="0"/>
        <v>-15521.236666666666</v>
      </c>
    </row>
    <row r="26" spans="2:12" x14ac:dyDescent="0.25">
      <c r="B26" s="38" t="s">
        <v>23</v>
      </c>
      <c r="C26" s="44">
        <v>45675</v>
      </c>
      <c r="D26" s="35"/>
      <c r="E26" s="35">
        <v>2040</v>
      </c>
      <c r="F26" s="68" t="s">
        <v>98</v>
      </c>
      <c r="G26" s="41" t="s">
        <v>80</v>
      </c>
      <c r="H26" s="41" t="s">
        <v>108</v>
      </c>
      <c r="I26" s="42"/>
      <c r="J26" s="41" t="s">
        <v>65</v>
      </c>
      <c r="K26" s="40"/>
      <c r="L26" s="28">
        <f t="shared" ca="1" si="0"/>
        <v>-17561.236666666664</v>
      </c>
    </row>
    <row r="27" spans="2:12" x14ac:dyDescent="0.25">
      <c r="B27" s="38" t="s">
        <v>23</v>
      </c>
      <c r="C27" s="44">
        <v>45675</v>
      </c>
      <c r="D27" s="35"/>
      <c r="E27" s="35">
        <v>400</v>
      </c>
      <c r="F27" s="67" t="s">
        <v>98</v>
      </c>
      <c r="G27" s="41" t="s">
        <v>80</v>
      </c>
      <c r="H27" s="41" t="s">
        <v>135</v>
      </c>
      <c r="I27" s="42"/>
      <c r="J27" s="41" t="s">
        <v>48</v>
      </c>
      <c r="K27" s="40"/>
      <c r="L27" s="28">
        <f t="shared" ca="1" si="0"/>
        <v>-17961.236666666664</v>
      </c>
    </row>
    <row r="28" spans="2:12" x14ac:dyDescent="0.25">
      <c r="B28" s="38" t="s">
        <v>23</v>
      </c>
      <c r="C28" s="44">
        <v>45675</v>
      </c>
      <c r="D28" s="35"/>
      <c r="E28" s="35">
        <v>800</v>
      </c>
      <c r="F28" s="67" t="s">
        <v>79</v>
      </c>
      <c r="G28" s="41" t="s">
        <v>80</v>
      </c>
      <c r="H28" s="41" t="s">
        <v>108</v>
      </c>
      <c r="I28" s="42"/>
      <c r="J28" s="41" t="s">
        <v>65</v>
      </c>
      <c r="K28" s="40"/>
      <c r="L28" s="28">
        <f t="shared" ca="1" si="0"/>
        <v>-18761.236666666664</v>
      </c>
    </row>
    <row r="29" spans="2:12" x14ac:dyDescent="0.25">
      <c r="B29" s="38" t="s">
        <v>23</v>
      </c>
      <c r="C29" s="44">
        <v>45675</v>
      </c>
      <c r="D29" s="35"/>
      <c r="E29" s="35">
        <v>400</v>
      </c>
      <c r="F29" s="67" t="s">
        <v>79</v>
      </c>
      <c r="G29" s="41" t="s">
        <v>80</v>
      </c>
      <c r="H29" s="41" t="s">
        <v>135</v>
      </c>
      <c r="I29" s="42"/>
      <c r="J29" s="41" t="s">
        <v>48</v>
      </c>
      <c r="K29" s="40"/>
      <c r="L29" s="28">
        <f t="shared" ca="1" si="0"/>
        <v>-19161.236666666664</v>
      </c>
    </row>
    <row r="30" spans="2:12" x14ac:dyDescent="0.25">
      <c r="B30" s="38" t="s">
        <v>23</v>
      </c>
      <c r="C30" s="44">
        <v>45675</v>
      </c>
      <c r="D30" s="35"/>
      <c r="E30" s="35">
        <v>800</v>
      </c>
      <c r="F30" s="68" t="s">
        <v>114</v>
      </c>
      <c r="G30" s="41" t="s">
        <v>80</v>
      </c>
      <c r="H30" s="41" t="s">
        <v>108</v>
      </c>
      <c r="I30" s="42"/>
      <c r="J30" s="41" t="s">
        <v>65</v>
      </c>
      <c r="K30" s="40"/>
      <c r="L30" s="28">
        <f t="shared" ca="1" si="0"/>
        <v>-19961.236666666664</v>
      </c>
    </row>
    <row r="31" spans="2:12" x14ac:dyDescent="0.25">
      <c r="B31" s="38" t="s">
        <v>23</v>
      </c>
      <c r="C31" s="44">
        <v>45675</v>
      </c>
      <c r="D31" s="35"/>
      <c r="E31" s="35">
        <v>400</v>
      </c>
      <c r="F31" s="68" t="s">
        <v>114</v>
      </c>
      <c r="G31" s="41" t="s">
        <v>80</v>
      </c>
      <c r="H31" s="41" t="s">
        <v>135</v>
      </c>
      <c r="I31" s="42"/>
      <c r="J31" s="41" t="s">
        <v>48</v>
      </c>
      <c r="K31" s="40"/>
      <c r="L31" s="28">
        <f t="shared" ca="1" si="0"/>
        <v>-20361.236666666664</v>
      </c>
    </row>
    <row r="32" spans="2:12" x14ac:dyDescent="0.25">
      <c r="B32" s="38" t="s">
        <v>23</v>
      </c>
      <c r="C32" s="44">
        <v>45675</v>
      </c>
      <c r="D32" s="35">
        <v>504</v>
      </c>
      <c r="F32" s="67" t="s">
        <v>156</v>
      </c>
      <c r="G32" s="41" t="s">
        <v>80</v>
      </c>
      <c r="H32" s="41" t="s">
        <v>154</v>
      </c>
      <c r="I32" s="69" t="s">
        <v>158</v>
      </c>
      <c r="J32" s="41" t="s">
        <v>99</v>
      </c>
      <c r="K32" s="40"/>
      <c r="L32" s="28">
        <f ca="1">IF(ISERROR(OFFSET(L32,-1,0,1,1)+D32-E32),D32-E32,OFFSET(L32,-1,0,1,1)+D32-E32)</f>
        <v>-19857.236666666664</v>
      </c>
    </row>
    <row r="33" spans="2:12" x14ac:dyDescent="0.25">
      <c r="B33" s="68" t="s">
        <v>22</v>
      </c>
      <c r="C33" s="44">
        <v>45677</v>
      </c>
      <c r="D33" s="60"/>
      <c r="E33" s="35">
        <v>937.5</v>
      </c>
      <c r="F33" s="67" t="s">
        <v>337</v>
      </c>
      <c r="G33" s="41" t="s">
        <v>107</v>
      </c>
      <c r="H33" s="41" t="s">
        <v>78</v>
      </c>
      <c r="I33" s="42" t="s">
        <v>338</v>
      </c>
      <c r="J33" s="41" t="s">
        <v>91</v>
      </c>
      <c r="K33" s="40"/>
      <c r="L33" s="28">
        <f ca="1">IF(ISERROR(OFFSET(L33,-1,0,1,1)+D33-E33),D33-E33,OFFSET(L33,-1,0,1,1)+D33-E33)</f>
        <v>-20794.736666666664</v>
      </c>
    </row>
    <row r="34" spans="2:12" x14ac:dyDescent="0.25">
      <c r="B34" s="38" t="s">
        <v>23</v>
      </c>
      <c r="C34" s="44">
        <v>45677</v>
      </c>
      <c r="D34" s="35">
        <v>6840</v>
      </c>
      <c r="F34" s="67" t="s">
        <v>153</v>
      </c>
      <c r="G34" s="41" t="s">
        <v>80</v>
      </c>
      <c r="H34" s="41" t="s">
        <v>157</v>
      </c>
      <c r="I34" s="69" t="s">
        <v>155</v>
      </c>
      <c r="J34" s="41" t="s">
        <v>99</v>
      </c>
      <c r="K34" s="40"/>
      <c r="L34" s="28">
        <f t="shared" ca="1" si="0"/>
        <v>-13954.736666666664</v>
      </c>
    </row>
    <row r="35" spans="2:12" x14ac:dyDescent="0.25">
      <c r="B35" s="38" t="s">
        <v>23</v>
      </c>
      <c r="C35" s="44">
        <v>45680</v>
      </c>
      <c r="D35" s="35">
        <v>2400</v>
      </c>
      <c r="F35" s="67" t="s">
        <v>156</v>
      </c>
      <c r="G35" s="41" t="s">
        <v>80</v>
      </c>
      <c r="H35" s="41" t="s">
        <v>224</v>
      </c>
      <c r="I35" s="69" t="s">
        <v>226</v>
      </c>
      <c r="J35" s="41" t="s">
        <v>99</v>
      </c>
      <c r="K35" s="40"/>
      <c r="L35" s="28">
        <f t="shared" ca="1" si="0"/>
        <v>-11554.736666666664</v>
      </c>
    </row>
    <row r="36" spans="2:12" x14ac:dyDescent="0.25">
      <c r="B36" s="38" t="s">
        <v>23</v>
      </c>
      <c r="C36" s="44">
        <v>45682</v>
      </c>
      <c r="D36" s="35"/>
      <c r="E36" s="35">
        <v>180</v>
      </c>
      <c r="F36" s="67" t="s">
        <v>262</v>
      </c>
      <c r="G36" s="41" t="s">
        <v>107</v>
      </c>
      <c r="H36" s="41" t="s">
        <v>78</v>
      </c>
      <c r="I36" s="42" t="s">
        <v>339</v>
      </c>
      <c r="J36" s="41" t="s">
        <v>91</v>
      </c>
      <c r="K36" s="40"/>
      <c r="L36" s="28">
        <f ca="1">IF(ISERROR(OFFSET(L36,-1,0,1,1)+D36-E36),D36-E36,OFFSET(L36,-1,0,1,1)+D36-E36)</f>
        <v>-11734.736666666664</v>
      </c>
    </row>
    <row r="37" spans="2:12" x14ac:dyDescent="0.25">
      <c r="B37" s="38" t="s">
        <v>23</v>
      </c>
      <c r="C37" s="44">
        <v>45684</v>
      </c>
      <c r="D37" s="35">
        <v>3000</v>
      </c>
      <c r="F37" s="67" t="s">
        <v>223</v>
      </c>
      <c r="G37" s="41" t="s">
        <v>80</v>
      </c>
      <c r="H37" s="41" t="s">
        <v>225</v>
      </c>
      <c r="I37" s="69" t="s">
        <v>227</v>
      </c>
      <c r="J37" s="41" t="s">
        <v>99</v>
      </c>
      <c r="K37" s="40"/>
      <c r="L37" s="28">
        <f t="shared" ca="1" si="0"/>
        <v>-8734.736666666664</v>
      </c>
    </row>
    <row r="38" spans="2:12" x14ac:dyDescent="0.25">
      <c r="B38" s="38"/>
      <c r="C38" s="44"/>
      <c r="D38" s="35"/>
      <c r="F38" s="40"/>
      <c r="G38" s="41"/>
      <c r="H38" s="41"/>
      <c r="I38" s="42"/>
      <c r="J38" s="41"/>
      <c r="K38" s="40"/>
      <c r="L38" s="28">
        <f t="shared" ca="1" si="0"/>
        <v>-8734.736666666664</v>
      </c>
    </row>
    <row r="39" spans="2:12" x14ac:dyDescent="0.25">
      <c r="B39" s="38"/>
      <c r="C39" s="44"/>
      <c r="D39" s="35"/>
      <c r="F39" s="40"/>
      <c r="G39" s="41"/>
      <c r="H39" s="41"/>
      <c r="I39" s="42"/>
      <c r="J39" s="41"/>
      <c r="K39" s="40"/>
      <c r="L39" s="28">
        <f t="shared" ca="1" si="0"/>
        <v>-8734.736666666664</v>
      </c>
    </row>
    <row r="40" spans="2:12" x14ac:dyDescent="0.25">
      <c r="B40" s="38"/>
      <c r="C40" s="44"/>
      <c r="D40" s="35"/>
      <c r="F40" s="40"/>
      <c r="G40" s="41"/>
      <c r="H40" s="41"/>
      <c r="I40" s="42"/>
      <c r="J40" s="41"/>
      <c r="K40" s="40"/>
      <c r="L40" s="28">
        <f t="shared" ca="1" si="0"/>
        <v>-8734.736666666664</v>
      </c>
    </row>
    <row r="41" spans="2:12" x14ac:dyDescent="0.25">
      <c r="B41" s="38"/>
      <c r="C41" s="44"/>
      <c r="D41" s="35"/>
      <c r="F41" s="38"/>
      <c r="G41" s="41"/>
      <c r="H41" s="41"/>
      <c r="I41" s="42"/>
      <c r="J41" s="41"/>
      <c r="K41" s="40"/>
      <c r="L41" s="28">
        <f t="shared" ca="1" si="0"/>
        <v>-8734.736666666664</v>
      </c>
    </row>
    <row r="42" spans="2:12" x14ac:dyDescent="0.25">
      <c r="B42" s="38"/>
      <c r="C42" s="44"/>
      <c r="D42" s="35"/>
      <c r="F42" s="38"/>
      <c r="G42" s="41"/>
      <c r="H42" s="41"/>
      <c r="I42" s="42"/>
      <c r="J42" s="41"/>
      <c r="K42" s="40"/>
      <c r="L42" s="28">
        <f t="shared" ca="1" si="0"/>
        <v>-8734.736666666664</v>
      </c>
    </row>
    <row r="43" spans="2:12" x14ac:dyDescent="0.25">
      <c r="B43" s="38"/>
      <c r="C43" s="44"/>
      <c r="D43" s="35"/>
      <c r="F43" s="38"/>
      <c r="G43" s="41"/>
      <c r="H43" s="41"/>
      <c r="I43" s="42"/>
      <c r="J43" s="41"/>
      <c r="K43" s="40"/>
      <c r="L43" s="28">
        <f t="shared" ca="1" si="0"/>
        <v>-8734.736666666664</v>
      </c>
    </row>
    <row r="44" spans="2:12" x14ac:dyDescent="0.25">
      <c r="B44" s="38"/>
      <c r="C44" s="44"/>
      <c r="D44" s="35"/>
      <c r="F44" s="38"/>
      <c r="G44" s="41"/>
      <c r="H44" s="41"/>
      <c r="I44" s="42"/>
      <c r="J44" s="41"/>
      <c r="K44" s="40"/>
      <c r="L44" s="28">
        <f t="shared" ca="1" si="0"/>
        <v>-8734.736666666664</v>
      </c>
    </row>
    <row r="45" spans="2:12" x14ac:dyDescent="0.25">
      <c r="B45" s="38"/>
      <c r="C45" s="39"/>
      <c r="D45" s="35"/>
      <c r="F45" s="38"/>
      <c r="G45" s="41"/>
      <c r="H45" s="41"/>
      <c r="I45" s="42"/>
      <c r="J45" s="41"/>
      <c r="K45" s="40"/>
      <c r="L45" s="28">
        <f t="shared" ca="1" si="0"/>
        <v>-8734.736666666664</v>
      </c>
    </row>
    <row r="46" spans="2:12" x14ac:dyDescent="0.25">
      <c r="B46" s="38"/>
      <c r="C46" s="39"/>
      <c r="D46" s="35"/>
      <c r="E46" s="56"/>
      <c r="F46" s="38"/>
      <c r="G46" s="41"/>
      <c r="H46" s="41"/>
      <c r="I46" s="42"/>
      <c r="J46" s="41"/>
      <c r="K46" s="40"/>
      <c r="L46" s="28">
        <f t="shared" ca="1" si="0"/>
        <v>-8734.736666666664</v>
      </c>
    </row>
    <row r="47" spans="2:12" x14ac:dyDescent="0.25">
      <c r="B47" s="47"/>
      <c r="C47" s="48"/>
      <c r="D47" s="52">
        <f>SUBTOTAL(109,Enero_2024[INGRESO])</f>
        <v>22044</v>
      </c>
      <c r="E47" s="52">
        <f>SUBTOTAL(109,Enero_2024[EGRESO])</f>
        <v>34415.879523809519</v>
      </c>
      <c r="F47" s="49"/>
      <c r="G47" s="50"/>
      <c r="H47" s="50"/>
      <c r="I47" s="51"/>
      <c r="J47" s="50"/>
      <c r="K47" s="49"/>
      <c r="L47" s="53"/>
    </row>
    <row r="48" spans="2:12" x14ac:dyDescent="0.25">
      <c r="C48" s="32"/>
      <c r="E48"/>
    </row>
    <row r="49" spans="2:12" x14ac:dyDescent="0.25">
      <c r="B49" s="76" t="s">
        <v>121</v>
      </c>
      <c r="C49" s="77"/>
      <c r="D49" s="77"/>
      <c r="E49" s="77"/>
      <c r="F49" s="77"/>
      <c r="G49" s="77"/>
      <c r="H49" s="77"/>
      <c r="I49" s="77"/>
      <c r="J49" s="77"/>
      <c r="K49" s="77"/>
      <c r="L49" s="77"/>
    </row>
    <row r="50" spans="2:12" x14ac:dyDescent="0.25">
      <c r="B50" s="36" t="s">
        <v>16</v>
      </c>
      <c r="C50" s="37" t="s">
        <v>17</v>
      </c>
      <c r="D50" s="46" t="s">
        <v>73</v>
      </c>
      <c r="E50" s="46" t="s">
        <v>74</v>
      </c>
      <c r="F50" s="37" t="s">
        <v>54</v>
      </c>
      <c r="G50" s="37" t="s">
        <v>76</v>
      </c>
      <c r="H50" s="37" t="s">
        <v>77</v>
      </c>
      <c r="I50" s="37" t="s">
        <v>75</v>
      </c>
      <c r="J50" s="37" t="s">
        <v>18</v>
      </c>
      <c r="K50" s="37" t="s">
        <v>64</v>
      </c>
      <c r="L50" s="37" t="s">
        <v>19</v>
      </c>
    </row>
    <row r="51" spans="2:12" x14ac:dyDescent="0.25">
      <c r="B51" s="68" t="s">
        <v>23</v>
      </c>
      <c r="C51" s="44">
        <v>45689</v>
      </c>
      <c r="D51" s="35">
        <v>500</v>
      </c>
      <c r="F51" s="68" t="s">
        <v>156</v>
      </c>
      <c r="G51" s="41" t="s">
        <v>80</v>
      </c>
      <c r="H51" s="41" t="s">
        <v>175</v>
      </c>
      <c r="I51" s="42" t="s">
        <v>164</v>
      </c>
      <c r="J51" s="41" t="s">
        <v>99</v>
      </c>
      <c r="K51" s="55"/>
      <c r="L51" s="28">
        <f t="shared" ref="L51:L109" ca="1" si="1">IF(ISERROR(OFFSET(L51,-1,0,1,1)+D51-E51),D51-E51,OFFSET(L51,-1,0,1,1)+D51-E51)</f>
        <v>500</v>
      </c>
    </row>
    <row r="52" spans="2:12" x14ac:dyDescent="0.25">
      <c r="B52" s="68" t="s">
        <v>23</v>
      </c>
      <c r="C52" s="44">
        <v>45689</v>
      </c>
      <c r="D52" s="35"/>
      <c r="E52" s="35">
        <v>4500</v>
      </c>
      <c r="F52" s="67" t="s">
        <v>171</v>
      </c>
      <c r="G52" s="41" t="s">
        <v>80</v>
      </c>
      <c r="H52" s="41" t="s">
        <v>108</v>
      </c>
      <c r="I52" s="42"/>
      <c r="J52" s="41" t="s">
        <v>65</v>
      </c>
      <c r="K52" s="40"/>
      <c r="L52" s="28">
        <f t="shared" ca="1" si="1"/>
        <v>-4000</v>
      </c>
    </row>
    <row r="53" spans="2:12" x14ac:dyDescent="0.25">
      <c r="B53" s="68" t="s">
        <v>23</v>
      </c>
      <c r="C53" s="44">
        <v>45689</v>
      </c>
      <c r="D53" s="35"/>
      <c r="E53" s="35">
        <v>3500</v>
      </c>
      <c r="F53" s="67" t="s">
        <v>172</v>
      </c>
      <c r="G53" s="41" t="s">
        <v>80</v>
      </c>
      <c r="H53" s="41" t="s">
        <v>108</v>
      </c>
      <c r="I53" s="42"/>
      <c r="J53" s="41" t="s">
        <v>65</v>
      </c>
      <c r="K53" s="40"/>
      <c r="L53" s="28">
        <f t="shared" ref="L53:L59" ca="1" si="2">IF(ISERROR(OFFSET(L53,-1,0,1,1)+D53-E53),D53-E53,OFFSET(L53,-1,0,1,1)+D53-E53)</f>
        <v>-7500</v>
      </c>
    </row>
    <row r="54" spans="2:12" x14ac:dyDescent="0.25">
      <c r="B54" s="68" t="s">
        <v>23</v>
      </c>
      <c r="C54" s="44">
        <v>45689</v>
      </c>
      <c r="D54" s="35"/>
      <c r="E54" s="35">
        <v>400</v>
      </c>
      <c r="F54" s="67" t="s">
        <v>172</v>
      </c>
      <c r="G54" s="41" t="s">
        <v>80</v>
      </c>
      <c r="H54" s="41" t="s">
        <v>135</v>
      </c>
      <c r="I54" s="42"/>
      <c r="J54" s="41" t="s">
        <v>48</v>
      </c>
      <c r="K54" s="40"/>
      <c r="L54" s="28">
        <f t="shared" ca="1" si="2"/>
        <v>-7900</v>
      </c>
    </row>
    <row r="55" spans="2:12" x14ac:dyDescent="0.25">
      <c r="B55" s="68" t="s">
        <v>23</v>
      </c>
      <c r="C55" s="44">
        <v>45689</v>
      </c>
      <c r="D55" s="35"/>
      <c r="E55" s="35">
        <v>2050</v>
      </c>
      <c r="F55" s="67" t="s">
        <v>98</v>
      </c>
      <c r="G55" s="41" t="s">
        <v>80</v>
      </c>
      <c r="H55" s="41" t="s">
        <v>108</v>
      </c>
      <c r="I55" s="42"/>
      <c r="J55" s="41" t="s">
        <v>65</v>
      </c>
      <c r="K55" s="40"/>
      <c r="L55" s="28">
        <f t="shared" ca="1" si="2"/>
        <v>-9950</v>
      </c>
    </row>
    <row r="56" spans="2:12" x14ac:dyDescent="0.25">
      <c r="B56" s="68" t="s">
        <v>23</v>
      </c>
      <c r="C56" s="44">
        <v>45689</v>
      </c>
      <c r="D56" s="35"/>
      <c r="E56" s="35">
        <v>400</v>
      </c>
      <c r="F56" s="67" t="s">
        <v>98</v>
      </c>
      <c r="G56" s="41" t="s">
        <v>80</v>
      </c>
      <c r="H56" s="41" t="s">
        <v>135</v>
      </c>
      <c r="I56" s="42"/>
      <c r="J56" s="41" t="s">
        <v>48</v>
      </c>
      <c r="K56" s="40"/>
      <c r="L56" s="28">
        <f t="shared" ca="1" si="2"/>
        <v>-10350</v>
      </c>
    </row>
    <row r="57" spans="2:12" x14ac:dyDescent="0.25">
      <c r="B57" s="68" t="s">
        <v>23</v>
      </c>
      <c r="C57" s="44">
        <v>45689</v>
      </c>
      <c r="D57" s="35"/>
      <c r="E57" s="35">
        <v>2000</v>
      </c>
      <c r="F57" s="67" t="s">
        <v>173</v>
      </c>
      <c r="G57" s="41" t="s">
        <v>80</v>
      </c>
      <c r="H57" s="41" t="s">
        <v>108</v>
      </c>
      <c r="I57" s="42"/>
      <c r="J57" s="41" t="s">
        <v>65</v>
      </c>
      <c r="K57" s="40"/>
      <c r="L57" s="28">
        <f t="shared" ca="1" si="2"/>
        <v>-12350</v>
      </c>
    </row>
    <row r="58" spans="2:12" x14ac:dyDescent="0.25">
      <c r="B58" s="68" t="s">
        <v>23</v>
      </c>
      <c r="C58" s="44">
        <v>45689</v>
      </c>
      <c r="D58" s="35"/>
      <c r="E58" s="35">
        <v>400</v>
      </c>
      <c r="F58" s="67" t="s">
        <v>173</v>
      </c>
      <c r="G58" s="41" t="s">
        <v>80</v>
      </c>
      <c r="H58" s="41" t="s">
        <v>135</v>
      </c>
      <c r="I58" s="42"/>
      <c r="J58" s="41" t="s">
        <v>48</v>
      </c>
      <c r="K58" s="40"/>
      <c r="L58" s="28">
        <f t="shared" ca="1" si="2"/>
        <v>-12750</v>
      </c>
    </row>
    <row r="59" spans="2:12" x14ac:dyDescent="0.25">
      <c r="B59" s="68" t="s">
        <v>23</v>
      </c>
      <c r="C59" s="44">
        <v>45689</v>
      </c>
      <c r="D59" s="35"/>
      <c r="E59" s="35">
        <v>800</v>
      </c>
      <c r="F59" s="67" t="s">
        <v>79</v>
      </c>
      <c r="G59" s="41" t="s">
        <v>80</v>
      </c>
      <c r="H59" s="41" t="s">
        <v>108</v>
      </c>
      <c r="I59" s="42"/>
      <c r="J59" s="41" t="s">
        <v>65</v>
      </c>
      <c r="K59" s="40"/>
      <c r="L59" s="28">
        <f t="shared" ca="1" si="2"/>
        <v>-13550</v>
      </c>
    </row>
    <row r="60" spans="2:12" x14ac:dyDescent="0.25">
      <c r="B60" s="68" t="s">
        <v>23</v>
      </c>
      <c r="C60" s="44">
        <v>45689</v>
      </c>
      <c r="D60" s="35"/>
      <c r="E60" s="35">
        <v>400</v>
      </c>
      <c r="F60" s="67" t="s">
        <v>79</v>
      </c>
      <c r="G60" s="41" t="s">
        <v>80</v>
      </c>
      <c r="H60" s="41" t="s">
        <v>135</v>
      </c>
      <c r="I60" s="42"/>
      <c r="J60" s="41" t="s">
        <v>48</v>
      </c>
      <c r="K60" s="40"/>
      <c r="L60" s="28">
        <f ca="1">IF(ISERROR(OFFSET(L60,-1,0,1,1)+D60-E60),D60-E60,OFFSET(L60,-1,0,1,1)+D60-E60)</f>
        <v>-13950</v>
      </c>
    </row>
    <row r="61" spans="2:12" x14ac:dyDescent="0.25">
      <c r="B61" s="68" t="s">
        <v>23</v>
      </c>
      <c r="C61" s="44">
        <v>45700</v>
      </c>
      <c r="D61" s="35">
        <v>450</v>
      </c>
      <c r="F61" s="67" t="s">
        <v>165</v>
      </c>
      <c r="G61" s="41" t="s">
        <v>80</v>
      </c>
      <c r="H61" s="41" t="s">
        <v>176</v>
      </c>
      <c r="I61" s="42" t="s">
        <v>164</v>
      </c>
      <c r="J61" s="41" t="s">
        <v>99</v>
      </c>
      <c r="K61" s="40"/>
      <c r="L61" s="28">
        <f t="shared" ca="1" si="1"/>
        <v>-13500</v>
      </c>
    </row>
    <row r="62" spans="2:12" x14ac:dyDescent="0.25">
      <c r="B62" s="68" t="s">
        <v>23</v>
      </c>
      <c r="C62" s="44">
        <v>45700</v>
      </c>
      <c r="D62" s="35">
        <v>720</v>
      </c>
      <c r="F62" s="67" t="s">
        <v>165</v>
      </c>
      <c r="G62" s="41" t="s">
        <v>80</v>
      </c>
      <c r="H62" s="41" t="s">
        <v>177</v>
      </c>
      <c r="I62" s="42" t="s">
        <v>166</v>
      </c>
      <c r="J62" s="41" t="s">
        <v>99</v>
      </c>
      <c r="K62" s="40"/>
      <c r="L62" s="28">
        <f t="shared" ca="1" si="1"/>
        <v>-12780</v>
      </c>
    </row>
    <row r="63" spans="2:12" x14ac:dyDescent="0.25">
      <c r="B63" s="68" t="s">
        <v>23</v>
      </c>
      <c r="C63" s="44">
        <v>45701</v>
      </c>
      <c r="D63" s="35">
        <v>6300</v>
      </c>
      <c r="F63" s="67" t="s">
        <v>165</v>
      </c>
      <c r="G63" s="41" t="s">
        <v>80</v>
      </c>
      <c r="H63" s="41" t="s">
        <v>178</v>
      </c>
      <c r="I63" s="42" t="s">
        <v>167</v>
      </c>
      <c r="J63" s="41" t="s">
        <v>99</v>
      </c>
      <c r="K63" s="40"/>
      <c r="L63" s="28">
        <f ca="1">IF(ISERROR(OFFSET(L63,-1,0,1,1)+D63-E63),D63-E63,OFFSET(L63,-1,0,1,1)+D63-E63)</f>
        <v>-6480</v>
      </c>
    </row>
    <row r="64" spans="2:12" x14ac:dyDescent="0.25">
      <c r="B64" s="68" t="s">
        <v>191</v>
      </c>
      <c r="C64" s="44">
        <v>45701</v>
      </c>
      <c r="D64" s="35"/>
      <c r="E64" s="35">
        <v>393.96</v>
      </c>
      <c r="F64" s="68" t="s">
        <v>159</v>
      </c>
      <c r="G64" s="41">
        <v>2200021673</v>
      </c>
      <c r="H64" s="41" t="s">
        <v>78</v>
      </c>
      <c r="I64" s="42" t="s">
        <v>160</v>
      </c>
      <c r="J64" s="41" t="s">
        <v>161</v>
      </c>
      <c r="K64" s="40"/>
      <c r="L64" s="28">
        <f t="shared" ca="1" si="1"/>
        <v>-6873.96</v>
      </c>
    </row>
    <row r="65" spans="2:12" x14ac:dyDescent="0.25">
      <c r="B65" s="68" t="s">
        <v>22</v>
      </c>
      <c r="C65" s="44">
        <v>45701</v>
      </c>
      <c r="D65" s="35"/>
      <c r="E65" s="35">
        <v>4226</v>
      </c>
      <c r="F65" s="68" t="s">
        <v>162</v>
      </c>
      <c r="G65" s="41" t="s">
        <v>80</v>
      </c>
      <c r="H65" s="41" t="s">
        <v>78</v>
      </c>
      <c r="I65" s="42" t="s">
        <v>163</v>
      </c>
      <c r="J65" s="41" t="s">
        <v>161</v>
      </c>
      <c r="K65" s="40"/>
      <c r="L65" s="28">
        <f t="shared" ca="1" si="1"/>
        <v>-11099.96</v>
      </c>
    </row>
    <row r="66" spans="2:12" x14ac:dyDescent="0.25">
      <c r="B66" s="68" t="s">
        <v>23</v>
      </c>
      <c r="C66" s="44">
        <v>45703</v>
      </c>
      <c r="D66" s="35">
        <v>108</v>
      </c>
      <c r="F66" s="67" t="s">
        <v>165</v>
      </c>
      <c r="G66" s="41" t="s">
        <v>80</v>
      </c>
      <c r="H66" s="41" t="s">
        <v>179</v>
      </c>
      <c r="I66" s="42" t="s">
        <v>168</v>
      </c>
      <c r="J66" s="41" t="s">
        <v>99</v>
      </c>
      <c r="K66" s="41"/>
      <c r="L66" s="28">
        <f t="shared" ca="1" si="1"/>
        <v>-10991.96</v>
      </c>
    </row>
    <row r="67" spans="2:12" x14ac:dyDescent="0.25">
      <c r="B67" s="68" t="s">
        <v>23</v>
      </c>
      <c r="C67" s="44">
        <v>45703</v>
      </c>
      <c r="D67" s="35">
        <v>2400</v>
      </c>
      <c r="F67" s="67" t="s">
        <v>169</v>
      </c>
      <c r="G67" s="41" t="s">
        <v>80</v>
      </c>
      <c r="H67" s="41" t="s">
        <v>180</v>
      </c>
      <c r="I67" s="42" t="s">
        <v>170</v>
      </c>
      <c r="J67" s="41" t="s">
        <v>99</v>
      </c>
      <c r="K67" s="40"/>
      <c r="L67" s="28">
        <f t="shared" ca="1" si="1"/>
        <v>-8591.9599999999991</v>
      </c>
    </row>
    <row r="68" spans="2:12" x14ac:dyDescent="0.25">
      <c r="B68" s="68" t="s">
        <v>23</v>
      </c>
      <c r="C68" s="44">
        <v>45703</v>
      </c>
      <c r="D68" s="35"/>
      <c r="E68" s="35">
        <v>4500</v>
      </c>
      <c r="F68" s="67" t="s">
        <v>171</v>
      </c>
      <c r="G68" s="41" t="s">
        <v>80</v>
      </c>
      <c r="H68" s="41" t="s">
        <v>108</v>
      </c>
      <c r="I68" s="42"/>
      <c r="J68" s="41" t="s">
        <v>65</v>
      </c>
      <c r="K68" s="40"/>
      <c r="L68" s="28">
        <f t="shared" ca="1" si="1"/>
        <v>-13091.96</v>
      </c>
    </row>
    <row r="69" spans="2:12" x14ac:dyDescent="0.25">
      <c r="B69" s="68" t="s">
        <v>23</v>
      </c>
      <c r="C69" s="44">
        <v>45703</v>
      </c>
      <c r="D69" s="35"/>
      <c r="E69" s="35">
        <v>918.5</v>
      </c>
      <c r="F69" s="67" t="s">
        <v>171</v>
      </c>
      <c r="G69" s="41" t="s">
        <v>80</v>
      </c>
      <c r="H69" s="41" t="s">
        <v>108</v>
      </c>
      <c r="I69" s="42"/>
      <c r="J69" s="41" t="s">
        <v>37</v>
      </c>
      <c r="K69" s="40"/>
      <c r="L69" s="28">
        <f ca="1">IF(ISERROR(OFFSET(L69,-1,0,1,1)+D69-E69),D69-E69,OFFSET(L69,-1,0,1,1)+D69-E69)</f>
        <v>-14010.46</v>
      </c>
    </row>
    <row r="70" spans="2:12" x14ac:dyDescent="0.25">
      <c r="B70" s="68" t="s">
        <v>23</v>
      </c>
      <c r="C70" s="44">
        <v>45703</v>
      </c>
      <c r="D70" s="35"/>
      <c r="E70" s="35">
        <v>3500</v>
      </c>
      <c r="F70" s="67" t="s">
        <v>172</v>
      </c>
      <c r="G70" s="41" t="s">
        <v>80</v>
      </c>
      <c r="H70" s="41" t="s">
        <v>108</v>
      </c>
      <c r="I70" s="42"/>
      <c r="J70" s="41" t="s">
        <v>65</v>
      </c>
      <c r="K70" s="40"/>
      <c r="L70" s="28">
        <f t="shared" ca="1" si="1"/>
        <v>-17510.46</v>
      </c>
    </row>
    <row r="71" spans="2:12" x14ac:dyDescent="0.25">
      <c r="B71" s="68" t="s">
        <v>23</v>
      </c>
      <c r="C71" s="44">
        <v>45703</v>
      </c>
      <c r="D71" s="35"/>
      <c r="E71" s="35">
        <v>400</v>
      </c>
      <c r="F71" s="67" t="s">
        <v>172</v>
      </c>
      <c r="G71" s="41" t="s">
        <v>80</v>
      </c>
      <c r="H71" s="41" t="s">
        <v>135</v>
      </c>
      <c r="I71" s="42"/>
      <c r="J71" s="41" t="s">
        <v>48</v>
      </c>
      <c r="K71" s="40"/>
      <c r="L71" s="28">
        <f t="shared" ca="1" si="1"/>
        <v>-17910.46</v>
      </c>
    </row>
    <row r="72" spans="2:12" x14ac:dyDescent="0.25">
      <c r="B72" s="68" t="s">
        <v>23</v>
      </c>
      <c r="C72" s="44">
        <v>45703</v>
      </c>
      <c r="D72" s="35"/>
      <c r="E72" s="35">
        <v>2050</v>
      </c>
      <c r="F72" s="67" t="s">
        <v>98</v>
      </c>
      <c r="G72" s="41" t="s">
        <v>80</v>
      </c>
      <c r="H72" s="41" t="s">
        <v>108</v>
      </c>
      <c r="I72" s="42"/>
      <c r="J72" s="41" t="s">
        <v>65</v>
      </c>
      <c r="K72" s="40"/>
      <c r="L72" s="28">
        <f t="shared" ca="1" si="1"/>
        <v>-19960.46</v>
      </c>
    </row>
    <row r="73" spans="2:12" x14ac:dyDescent="0.25">
      <c r="B73" s="68" t="s">
        <v>23</v>
      </c>
      <c r="C73" s="44">
        <v>45703</v>
      </c>
      <c r="D73" s="35"/>
      <c r="E73" s="35">
        <v>400</v>
      </c>
      <c r="F73" s="67" t="s">
        <v>98</v>
      </c>
      <c r="G73" s="41" t="s">
        <v>80</v>
      </c>
      <c r="H73" s="41" t="s">
        <v>135</v>
      </c>
      <c r="I73" s="42"/>
      <c r="J73" s="41" t="s">
        <v>48</v>
      </c>
      <c r="K73" s="40"/>
      <c r="L73" s="28">
        <f t="shared" ca="1" si="1"/>
        <v>-20360.46</v>
      </c>
    </row>
    <row r="74" spans="2:12" x14ac:dyDescent="0.25">
      <c r="B74" s="68" t="s">
        <v>23</v>
      </c>
      <c r="C74" s="44">
        <v>45703</v>
      </c>
      <c r="D74" s="35"/>
      <c r="E74" s="35">
        <v>400</v>
      </c>
      <c r="F74" s="67" t="s">
        <v>173</v>
      </c>
      <c r="G74" s="41" t="s">
        <v>80</v>
      </c>
      <c r="H74" s="41" t="s">
        <v>108</v>
      </c>
      <c r="I74" s="42"/>
      <c r="J74" s="41" t="s">
        <v>48</v>
      </c>
      <c r="K74" s="40"/>
      <c r="L74" s="28">
        <f t="shared" ca="1" si="1"/>
        <v>-20760.46</v>
      </c>
    </row>
    <row r="75" spans="2:12" x14ac:dyDescent="0.25">
      <c r="B75" s="68" t="s">
        <v>23</v>
      </c>
      <c r="C75" s="44">
        <v>45703</v>
      </c>
      <c r="D75" s="35"/>
      <c r="E75" s="35">
        <v>800</v>
      </c>
      <c r="F75" s="67" t="s">
        <v>79</v>
      </c>
      <c r="G75" s="41" t="s">
        <v>80</v>
      </c>
      <c r="H75" s="41" t="s">
        <v>108</v>
      </c>
      <c r="I75" s="42"/>
      <c r="J75" s="41" t="s">
        <v>65</v>
      </c>
      <c r="K75" s="40"/>
      <c r="L75" s="28">
        <f t="shared" ca="1" si="1"/>
        <v>-21560.46</v>
      </c>
    </row>
    <row r="76" spans="2:12" x14ac:dyDescent="0.25">
      <c r="B76" s="68" t="s">
        <v>23</v>
      </c>
      <c r="C76" s="44">
        <v>45703</v>
      </c>
      <c r="D76" s="35"/>
      <c r="E76" s="35">
        <v>400</v>
      </c>
      <c r="F76" s="67" t="s">
        <v>79</v>
      </c>
      <c r="G76" s="41" t="s">
        <v>80</v>
      </c>
      <c r="H76" s="41" t="s">
        <v>135</v>
      </c>
      <c r="I76" s="42"/>
      <c r="J76" s="41" t="s">
        <v>48</v>
      </c>
      <c r="K76" s="40"/>
      <c r="L76" s="28">
        <f ca="1">IF(ISERROR(OFFSET(L76,-1,0,1,1)+D76-E76),D76-E76,OFFSET(L76,-1,0,1,1)+D76-E76)</f>
        <v>-21960.46</v>
      </c>
    </row>
    <row r="77" spans="2:12" x14ac:dyDescent="0.25">
      <c r="B77" s="68" t="s">
        <v>22</v>
      </c>
      <c r="C77" s="39">
        <v>45707</v>
      </c>
      <c r="D77" s="35"/>
      <c r="E77" s="35">
        <v>3322.5</v>
      </c>
      <c r="F77" s="67" t="s">
        <v>189</v>
      </c>
      <c r="G77" s="41" t="s">
        <v>80</v>
      </c>
      <c r="H77" s="41" t="s">
        <v>78</v>
      </c>
      <c r="I77" s="42" t="s">
        <v>190</v>
      </c>
      <c r="J77" s="41" t="s">
        <v>103</v>
      </c>
      <c r="K77" s="40"/>
      <c r="L77" s="28">
        <f ca="1">IF(ISERROR(OFFSET(L77,-1,0,1,1)+D77-E77),D77-E77,OFFSET(L77,-1,0,1,1)+D77-E77)</f>
        <v>-25282.959999999999</v>
      </c>
    </row>
    <row r="78" spans="2:12" x14ac:dyDescent="0.25">
      <c r="B78" s="68" t="s">
        <v>23</v>
      </c>
      <c r="C78" s="44">
        <v>45708</v>
      </c>
      <c r="D78" s="35">
        <v>990</v>
      </c>
      <c r="F78" s="67" t="s">
        <v>165</v>
      </c>
      <c r="G78" s="41" t="s">
        <v>80</v>
      </c>
      <c r="H78" s="41" t="s">
        <v>181</v>
      </c>
      <c r="I78" s="42" t="s">
        <v>186</v>
      </c>
      <c r="J78" s="41" t="s">
        <v>99</v>
      </c>
      <c r="K78" s="40"/>
      <c r="L78" s="28">
        <f ca="1">IF(ISERROR(OFFSET(L78,-1,0,1,1)+D78-E78),D78-E78,OFFSET(L78,-1,0,1,1)+D78-E78)</f>
        <v>-24292.959999999999</v>
      </c>
    </row>
    <row r="79" spans="2:12" x14ac:dyDescent="0.25">
      <c r="B79" s="68" t="s">
        <v>23</v>
      </c>
      <c r="C79" s="44">
        <v>45708</v>
      </c>
      <c r="D79" s="35">
        <v>900</v>
      </c>
      <c r="F79" s="67" t="s">
        <v>165</v>
      </c>
      <c r="G79" s="41" t="s">
        <v>80</v>
      </c>
      <c r="H79" s="41" t="s">
        <v>183</v>
      </c>
      <c r="I79" s="42" t="s">
        <v>182</v>
      </c>
      <c r="J79" s="41" t="s">
        <v>99</v>
      </c>
      <c r="K79" s="40"/>
      <c r="L79" s="28">
        <f ca="1">IF(ISERROR(OFFSET(L79,-1,0,1,1)+D79-E79),D79-E79,OFFSET(L79,-1,0,1,1)+D79-E79)</f>
        <v>-23392.959999999999</v>
      </c>
    </row>
    <row r="80" spans="2:12" x14ac:dyDescent="0.25">
      <c r="B80" s="68" t="s">
        <v>23</v>
      </c>
      <c r="C80" s="39">
        <v>45710</v>
      </c>
      <c r="D80" s="35">
        <v>100</v>
      </c>
      <c r="F80" s="67" t="s">
        <v>217</v>
      </c>
      <c r="G80" s="41" t="s">
        <v>80</v>
      </c>
      <c r="H80" s="41" t="s">
        <v>218</v>
      </c>
      <c r="I80" s="42" t="s">
        <v>219</v>
      </c>
      <c r="J80" s="41" t="s">
        <v>100</v>
      </c>
      <c r="K80" s="40"/>
      <c r="L80" s="28">
        <f ca="1">IF(ISERROR(OFFSET(L80,-1,0,1,1)+D80-E80),D80-E80,OFFSET(L80,-1,0,1,1)+D80-E80)</f>
        <v>-23292.959999999999</v>
      </c>
    </row>
    <row r="81" spans="2:12" x14ac:dyDescent="0.25">
      <c r="B81" s="68" t="s">
        <v>23</v>
      </c>
      <c r="C81" s="44">
        <v>45711</v>
      </c>
      <c r="D81" s="35">
        <v>1200</v>
      </c>
      <c r="F81" s="67" t="s">
        <v>174</v>
      </c>
      <c r="G81" s="41" t="s">
        <v>80</v>
      </c>
      <c r="H81" s="41" t="s">
        <v>185</v>
      </c>
      <c r="I81" s="42" t="s">
        <v>182</v>
      </c>
      <c r="J81" s="41" t="s">
        <v>99</v>
      </c>
      <c r="K81" s="40"/>
      <c r="L81" s="28">
        <f t="shared" ca="1" si="1"/>
        <v>-22092.959999999999</v>
      </c>
    </row>
    <row r="82" spans="2:12" x14ac:dyDescent="0.25">
      <c r="B82" s="68" t="s">
        <v>23</v>
      </c>
      <c r="C82" s="44">
        <v>45711</v>
      </c>
      <c r="D82" s="35">
        <v>100</v>
      </c>
      <c r="F82" s="67" t="s">
        <v>174</v>
      </c>
      <c r="G82" s="41" t="s">
        <v>80</v>
      </c>
      <c r="H82" s="41" t="s">
        <v>220</v>
      </c>
      <c r="I82" s="42" t="s">
        <v>219</v>
      </c>
      <c r="J82" s="41" t="s">
        <v>100</v>
      </c>
      <c r="K82" s="40"/>
      <c r="L82" s="28">
        <f ca="1">IF(ISERROR(OFFSET(L82,-1,0,1,1)+D82-E82),D82-E82,OFFSET(L82,-1,0,1,1)+D82-E82)</f>
        <v>-21992.959999999999</v>
      </c>
    </row>
    <row r="83" spans="2:12" x14ac:dyDescent="0.25">
      <c r="B83" s="68" t="s">
        <v>23</v>
      </c>
      <c r="C83" s="44">
        <v>45711</v>
      </c>
      <c r="D83" s="35">
        <v>900</v>
      </c>
      <c r="F83" s="67" t="s">
        <v>165</v>
      </c>
      <c r="G83" s="41" t="s">
        <v>80</v>
      </c>
      <c r="H83" s="41" t="s">
        <v>184</v>
      </c>
      <c r="I83" s="42" t="s">
        <v>182</v>
      </c>
      <c r="J83" s="41" t="s">
        <v>99</v>
      </c>
      <c r="K83" s="40"/>
      <c r="L83" s="28">
        <f t="shared" ca="1" si="1"/>
        <v>-21092.959999999999</v>
      </c>
    </row>
    <row r="84" spans="2:12" x14ac:dyDescent="0.25">
      <c r="B84" s="68" t="s">
        <v>23</v>
      </c>
      <c r="C84" s="44">
        <v>45712</v>
      </c>
      <c r="D84" s="35"/>
      <c r="E84" s="35">
        <v>820.19</v>
      </c>
      <c r="F84" s="68" t="s">
        <v>110</v>
      </c>
      <c r="G84" s="41" t="s">
        <v>187</v>
      </c>
      <c r="H84" s="41" t="s">
        <v>78</v>
      </c>
      <c r="I84" s="42" t="s">
        <v>188</v>
      </c>
      <c r="J84" s="41" t="s">
        <v>109</v>
      </c>
      <c r="K84" s="40"/>
      <c r="L84" s="28">
        <f t="shared" ca="1" si="1"/>
        <v>-21913.149999999998</v>
      </c>
    </row>
    <row r="85" spans="2:12" x14ac:dyDescent="0.25">
      <c r="B85" s="68" t="s">
        <v>23</v>
      </c>
      <c r="C85" s="44">
        <v>45713</v>
      </c>
      <c r="D85" s="35">
        <v>1350</v>
      </c>
      <c r="F85" s="67" t="s">
        <v>165</v>
      </c>
      <c r="G85" s="41" t="s">
        <v>80</v>
      </c>
      <c r="H85" s="41" t="s">
        <v>228</v>
      </c>
      <c r="I85" s="42" t="s">
        <v>229</v>
      </c>
      <c r="J85" s="41" t="s">
        <v>99</v>
      </c>
      <c r="K85" s="40"/>
      <c r="L85" s="28">
        <f ca="1">IF(ISERROR(OFFSET(L85,-1,0,1,1)+D85-E85),D85-E85,OFFSET(L85,-1,0,1,1)+D85-E85)</f>
        <v>-20563.149999999998</v>
      </c>
    </row>
    <row r="86" spans="2:12" x14ac:dyDescent="0.25">
      <c r="B86" s="68" t="s">
        <v>23</v>
      </c>
      <c r="C86" s="44">
        <v>45715</v>
      </c>
      <c r="D86" s="35">
        <v>150</v>
      </c>
      <c r="F86" s="67" t="s">
        <v>165</v>
      </c>
      <c r="G86" s="41" t="s">
        <v>80</v>
      </c>
      <c r="H86" s="41" t="s">
        <v>221</v>
      </c>
      <c r="I86" s="42" t="s">
        <v>222</v>
      </c>
      <c r="J86" s="41" t="s">
        <v>100</v>
      </c>
      <c r="K86" s="40"/>
      <c r="L86" s="28">
        <f t="shared" ca="1" si="1"/>
        <v>-20413.149999999998</v>
      </c>
    </row>
    <row r="87" spans="2:12" x14ac:dyDescent="0.25">
      <c r="B87" s="38"/>
      <c r="C87" s="44"/>
      <c r="D87" s="35"/>
      <c r="F87" s="40"/>
      <c r="G87" s="41"/>
      <c r="H87" s="41"/>
      <c r="I87" s="42"/>
      <c r="J87" s="41"/>
      <c r="K87" s="40"/>
      <c r="L87" s="28">
        <f t="shared" ca="1" si="1"/>
        <v>-20413.149999999998</v>
      </c>
    </row>
    <row r="88" spans="2:12" x14ac:dyDescent="0.25">
      <c r="B88" s="38"/>
      <c r="C88" s="44"/>
      <c r="D88" s="35"/>
      <c r="F88" s="38"/>
      <c r="G88" s="41"/>
      <c r="H88" s="41"/>
      <c r="I88" s="42"/>
      <c r="J88" s="41"/>
      <c r="K88" s="40"/>
      <c r="L88" s="28">
        <f t="shared" ca="1" si="1"/>
        <v>-20413.149999999998</v>
      </c>
    </row>
    <row r="89" spans="2:12" x14ac:dyDescent="0.25">
      <c r="B89" s="38"/>
      <c r="C89" s="44"/>
      <c r="D89" s="35"/>
      <c r="F89" s="38"/>
      <c r="G89" s="41"/>
      <c r="H89" s="41"/>
      <c r="I89" s="42"/>
      <c r="J89" s="41"/>
      <c r="K89" s="40"/>
      <c r="L89" s="28">
        <f t="shared" ca="1" si="1"/>
        <v>-20413.149999999998</v>
      </c>
    </row>
    <row r="90" spans="2:12" x14ac:dyDescent="0.25">
      <c r="B90" s="38"/>
      <c r="C90" s="44"/>
      <c r="D90" s="35"/>
      <c r="F90" s="38"/>
      <c r="G90" s="41"/>
      <c r="H90" s="41"/>
      <c r="I90" s="42"/>
      <c r="J90" s="41"/>
      <c r="K90" s="40"/>
      <c r="L90" s="28">
        <f t="shared" ca="1" si="1"/>
        <v>-20413.149999999998</v>
      </c>
    </row>
    <row r="91" spans="2:12" x14ac:dyDescent="0.25">
      <c r="B91" s="38"/>
      <c r="C91" s="44"/>
      <c r="D91" s="35"/>
      <c r="F91" s="38"/>
      <c r="G91" s="41"/>
      <c r="H91" s="41"/>
      <c r="I91" s="42"/>
      <c r="J91" s="41"/>
      <c r="K91" s="40"/>
      <c r="L91" s="28">
        <f t="shared" ca="1" si="1"/>
        <v>-20413.149999999998</v>
      </c>
    </row>
    <row r="92" spans="2:12" x14ac:dyDescent="0.25">
      <c r="B92" s="38"/>
      <c r="C92" s="44"/>
      <c r="D92" s="35"/>
      <c r="F92" s="40"/>
      <c r="G92" s="41"/>
      <c r="H92" s="41"/>
      <c r="I92" s="42"/>
      <c r="J92" s="41"/>
      <c r="K92" s="40"/>
      <c r="L92" s="28">
        <f t="shared" ca="1" si="1"/>
        <v>-20413.149999999998</v>
      </c>
    </row>
    <row r="93" spans="2:12" x14ac:dyDescent="0.25">
      <c r="B93" s="38"/>
      <c r="C93" s="44"/>
      <c r="D93" s="35"/>
      <c r="F93" s="40"/>
      <c r="G93" s="41"/>
      <c r="H93" s="41"/>
      <c r="I93" s="42"/>
      <c r="J93" s="41"/>
      <c r="K93" s="40"/>
      <c r="L93" s="28">
        <f t="shared" ca="1" si="1"/>
        <v>-20413.149999999998</v>
      </c>
    </row>
    <row r="94" spans="2:12" x14ac:dyDescent="0.25">
      <c r="B94" s="38"/>
      <c r="C94" s="44"/>
      <c r="D94" s="35"/>
      <c r="F94" s="40"/>
      <c r="G94" s="41"/>
      <c r="H94" s="41"/>
      <c r="I94" s="42"/>
      <c r="J94" s="41"/>
      <c r="K94" s="40"/>
      <c r="L94" s="28">
        <f t="shared" ca="1" si="1"/>
        <v>-20413.149999999998</v>
      </c>
    </row>
    <row r="95" spans="2:12" x14ac:dyDescent="0.25">
      <c r="B95" s="38"/>
      <c r="C95" s="44"/>
      <c r="D95" s="35"/>
      <c r="F95" s="40"/>
      <c r="G95" s="41"/>
      <c r="H95" s="41"/>
      <c r="I95" s="42"/>
      <c r="J95" s="41"/>
      <c r="K95" s="40"/>
      <c r="L95" s="28">
        <f t="shared" ca="1" si="1"/>
        <v>-20413.149999999998</v>
      </c>
    </row>
    <row r="96" spans="2:12" x14ac:dyDescent="0.25">
      <c r="B96" s="38"/>
      <c r="C96" s="44"/>
      <c r="D96" s="35"/>
      <c r="F96" s="38"/>
      <c r="G96" s="41"/>
      <c r="H96" s="41"/>
      <c r="I96" s="42"/>
      <c r="J96" s="41"/>
      <c r="K96" s="40"/>
      <c r="L96" s="28">
        <f t="shared" ca="1" si="1"/>
        <v>-20413.149999999998</v>
      </c>
    </row>
    <row r="97" spans="2:12" x14ac:dyDescent="0.25">
      <c r="B97" s="38"/>
      <c r="C97" s="44"/>
      <c r="D97" s="35"/>
      <c r="F97" s="40"/>
      <c r="G97" s="41"/>
      <c r="H97" s="41"/>
      <c r="I97" s="42"/>
      <c r="J97" s="41"/>
      <c r="K97" s="40"/>
      <c r="L97" s="28">
        <f t="shared" ca="1" si="1"/>
        <v>-20413.149999999998</v>
      </c>
    </row>
    <row r="98" spans="2:12" x14ac:dyDescent="0.25">
      <c r="B98" s="38"/>
      <c r="C98" s="44"/>
      <c r="D98" s="35"/>
      <c r="F98" s="40"/>
      <c r="G98" s="41"/>
      <c r="H98" s="41"/>
      <c r="I98" s="42"/>
      <c r="J98" s="41"/>
      <c r="K98" s="40"/>
      <c r="L98" s="28">
        <f t="shared" ca="1" si="1"/>
        <v>-20413.149999999998</v>
      </c>
    </row>
    <row r="99" spans="2:12" x14ac:dyDescent="0.25">
      <c r="B99" s="38"/>
      <c r="C99" s="44"/>
      <c r="D99" s="35"/>
      <c r="F99" s="40"/>
      <c r="G99" s="41"/>
      <c r="H99" s="41"/>
      <c r="I99" s="42"/>
      <c r="J99" s="41"/>
      <c r="K99" s="40"/>
      <c r="L99" s="28">
        <f t="shared" ca="1" si="1"/>
        <v>-20413.149999999998</v>
      </c>
    </row>
    <row r="100" spans="2:12" x14ac:dyDescent="0.25">
      <c r="B100" s="38"/>
      <c r="C100" s="44"/>
      <c r="D100" s="35"/>
      <c r="F100" s="38"/>
      <c r="G100" s="41"/>
      <c r="H100" s="41"/>
      <c r="I100" s="42"/>
      <c r="J100" s="41"/>
      <c r="K100" s="40"/>
      <c r="L100" s="28">
        <f t="shared" ca="1" si="1"/>
        <v>-20413.149999999998</v>
      </c>
    </row>
    <row r="101" spans="2:12" x14ac:dyDescent="0.25">
      <c r="B101" s="38"/>
      <c r="C101" s="44"/>
      <c r="D101" s="35"/>
      <c r="F101" s="38"/>
      <c r="G101" s="41"/>
      <c r="H101" s="41"/>
      <c r="I101" s="42"/>
      <c r="J101" s="41"/>
      <c r="K101" s="40"/>
      <c r="L101" s="28">
        <f t="shared" ca="1" si="1"/>
        <v>-20413.149999999998</v>
      </c>
    </row>
    <row r="102" spans="2:12" ht="14.45" customHeight="1" x14ac:dyDescent="0.25">
      <c r="B102" s="38"/>
      <c r="C102" s="44"/>
      <c r="D102" s="35"/>
      <c r="F102" s="38"/>
      <c r="G102" s="41"/>
      <c r="H102" s="41"/>
      <c r="I102" s="42"/>
      <c r="J102" s="41"/>
      <c r="K102" s="40"/>
      <c r="L102" s="28">
        <f t="shared" ca="1" si="1"/>
        <v>-20413.149999999998</v>
      </c>
    </row>
    <row r="103" spans="2:12" x14ac:dyDescent="0.25">
      <c r="B103" s="38"/>
      <c r="C103" s="44"/>
      <c r="D103" s="35"/>
      <c r="F103" s="38"/>
      <c r="G103" s="41"/>
      <c r="H103" s="41"/>
      <c r="I103" s="42"/>
      <c r="J103" s="41"/>
      <c r="K103" s="40"/>
      <c r="L103" s="28">
        <f t="shared" ca="1" si="1"/>
        <v>-20413.149999999998</v>
      </c>
    </row>
    <row r="104" spans="2:12" s="32" customFormat="1" x14ac:dyDescent="0.25">
      <c r="B104" s="38"/>
      <c r="C104" s="44"/>
      <c r="D104" s="35"/>
      <c r="E104" s="35"/>
      <c r="F104" s="40"/>
      <c r="G104" s="41"/>
      <c r="H104" s="41"/>
      <c r="I104" s="42"/>
      <c r="J104" s="41"/>
      <c r="K104" s="40"/>
      <c r="L104" s="28">
        <f t="shared" ca="1" si="1"/>
        <v>-20413.149999999998</v>
      </c>
    </row>
    <row r="105" spans="2:12" s="32" customFormat="1" x14ac:dyDescent="0.25">
      <c r="B105" s="38"/>
      <c r="C105" s="44"/>
      <c r="D105" s="35"/>
      <c r="E105" s="35"/>
      <c r="F105" s="40"/>
      <c r="G105" s="41"/>
      <c r="H105" s="41"/>
      <c r="I105" s="42"/>
      <c r="J105" s="41"/>
      <c r="K105" s="40"/>
      <c r="L105" s="28">
        <f t="shared" ca="1" si="1"/>
        <v>-20413.149999999998</v>
      </c>
    </row>
    <row r="106" spans="2:12" s="32" customFormat="1" x14ac:dyDescent="0.25">
      <c r="B106" s="38"/>
      <c r="C106" s="44"/>
      <c r="D106" s="35"/>
      <c r="E106" s="35"/>
      <c r="F106" s="40"/>
      <c r="G106" s="41"/>
      <c r="H106" s="41"/>
      <c r="I106" s="42"/>
      <c r="J106" s="41"/>
      <c r="K106" s="40"/>
      <c r="L106" s="28">
        <f t="shared" ca="1" si="1"/>
        <v>-20413.149999999998</v>
      </c>
    </row>
    <row r="107" spans="2:12" s="32" customFormat="1" x14ac:dyDescent="0.25">
      <c r="B107" s="38"/>
      <c r="C107" s="44"/>
      <c r="D107" s="35"/>
      <c r="E107" s="35"/>
      <c r="F107" s="40"/>
      <c r="G107" s="41"/>
      <c r="H107" s="41"/>
      <c r="I107" s="42"/>
      <c r="J107" s="41"/>
      <c r="K107" s="40"/>
      <c r="L107" s="28">
        <f t="shared" ca="1" si="1"/>
        <v>-20413.149999999998</v>
      </c>
    </row>
    <row r="108" spans="2:12" x14ac:dyDescent="0.25">
      <c r="B108" s="38"/>
      <c r="C108" s="44"/>
      <c r="D108" s="35"/>
      <c r="F108" s="38"/>
      <c r="G108" s="41"/>
      <c r="H108" s="41"/>
      <c r="I108" s="42"/>
      <c r="J108" s="41"/>
      <c r="K108" s="40"/>
      <c r="L108" s="28">
        <f t="shared" ca="1" si="1"/>
        <v>-20413.149999999998</v>
      </c>
    </row>
    <row r="109" spans="2:12" x14ac:dyDescent="0.25">
      <c r="B109" s="38"/>
      <c r="C109" s="44"/>
      <c r="D109" s="35"/>
      <c r="F109" s="38"/>
      <c r="G109" s="41"/>
      <c r="H109" s="41"/>
      <c r="I109" s="42"/>
      <c r="J109" s="41"/>
      <c r="K109" s="40"/>
      <c r="L109" s="28">
        <f t="shared" ca="1" si="1"/>
        <v>-20413.149999999998</v>
      </c>
    </row>
    <row r="110" spans="2:12" x14ac:dyDescent="0.25">
      <c r="B110" s="47"/>
      <c r="C110" s="48"/>
      <c r="D110" s="52">
        <f>SUBTOTAL(109,Febrero_2024[INGRESO])</f>
        <v>16168</v>
      </c>
      <c r="E110" s="52">
        <f>SUBTOTAL(109,Febrero_2024[EGRESO])</f>
        <v>36581.15</v>
      </c>
      <c r="F110" s="49"/>
      <c r="G110" s="50"/>
      <c r="H110" s="50"/>
      <c r="I110" s="51"/>
      <c r="J110" s="50"/>
      <c r="K110" s="49"/>
      <c r="L110" s="53"/>
    </row>
    <row r="111" spans="2:12" x14ac:dyDescent="0.25">
      <c r="C111" s="32"/>
      <c r="E111"/>
    </row>
    <row r="112" spans="2:12" x14ac:dyDescent="0.25">
      <c r="B112" s="76" t="s">
        <v>122</v>
      </c>
      <c r="C112" s="77"/>
      <c r="D112" s="77"/>
      <c r="E112" s="77"/>
      <c r="F112" s="77"/>
      <c r="G112" s="77"/>
      <c r="H112" s="77"/>
      <c r="I112" s="77"/>
      <c r="J112" s="77"/>
      <c r="K112" s="77"/>
      <c r="L112" s="77"/>
    </row>
    <row r="113" spans="2:12" x14ac:dyDescent="0.25">
      <c r="B113" s="36" t="s">
        <v>16</v>
      </c>
      <c r="C113" s="37" t="s">
        <v>17</v>
      </c>
      <c r="D113" s="37" t="s">
        <v>73</v>
      </c>
      <c r="E113" s="37" t="s">
        <v>74</v>
      </c>
      <c r="F113" s="37" t="s">
        <v>54</v>
      </c>
      <c r="G113" s="37" t="s">
        <v>76</v>
      </c>
      <c r="H113" s="37" t="s">
        <v>77</v>
      </c>
      <c r="I113" s="37" t="s">
        <v>75</v>
      </c>
      <c r="J113" s="37" t="s">
        <v>18</v>
      </c>
      <c r="K113" s="37" t="s">
        <v>64</v>
      </c>
      <c r="L113" s="37" t="s">
        <v>19</v>
      </c>
    </row>
    <row r="114" spans="2:12" x14ac:dyDescent="0.25">
      <c r="B114" s="68" t="s">
        <v>23</v>
      </c>
      <c r="C114" s="44">
        <v>45717</v>
      </c>
      <c r="D114" s="35"/>
      <c r="E114" s="35">
        <v>4500</v>
      </c>
      <c r="F114" s="67" t="s">
        <v>171</v>
      </c>
      <c r="G114" s="41" t="s">
        <v>80</v>
      </c>
      <c r="H114" s="41" t="s">
        <v>108</v>
      </c>
      <c r="I114" s="69"/>
      <c r="J114" s="41" t="s">
        <v>65</v>
      </c>
      <c r="K114" s="40"/>
      <c r="L114" s="28">
        <f t="shared" ref="L114:L158" ca="1" si="3">IF(ISERROR(OFFSET(L114,-1,0,1,1)+D114-E114),D114-E114,OFFSET(L114,-1,0,1,1)+D114-E114)</f>
        <v>-4500</v>
      </c>
    </row>
    <row r="115" spans="2:12" x14ac:dyDescent="0.25">
      <c r="B115" s="68" t="s">
        <v>23</v>
      </c>
      <c r="C115" s="44">
        <v>45717</v>
      </c>
      <c r="D115" s="35"/>
      <c r="E115" s="35">
        <v>3500</v>
      </c>
      <c r="F115" s="67" t="s">
        <v>172</v>
      </c>
      <c r="G115" s="41" t="s">
        <v>80</v>
      </c>
      <c r="H115" s="41" t="s">
        <v>108</v>
      </c>
      <c r="I115" s="69"/>
      <c r="J115" s="41" t="s">
        <v>65</v>
      </c>
      <c r="K115" s="40"/>
      <c r="L115" s="28">
        <f t="shared" ca="1" si="3"/>
        <v>-8000</v>
      </c>
    </row>
    <row r="116" spans="2:12" x14ac:dyDescent="0.25">
      <c r="B116" s="68" t="s">
        <v>23</v>
      </c>
      <c r="C116" s="44">
        <v>45717</v>
      </c>
      <c r="D116" s="35"/>
      <c r="E116" s="35">
        <v>400</v>
      </c>
      <c r="F116" s="67" t="s">
        <v>172</v>
      </c>
      <c r="G116" s="41" t="s">
        <v>80</v>
      </c>
      <c r="H116" s="41" t="s">
        <v>108</v>
      </c>
      <c r="I116" s="69"/>
      <c r="J116" s="41" t="s">
        <v>48</v>
      </c>
      <c r="K116" s="40"/>
      <c r="L116" s="28">
        <f ca="1">IF(ISERROR(OFFSET(L116,-1,0,1,1)+D116-E116),D116-E116,OFFSET(L116,-1,0,1,1)+D116-E116)</f>
        <v>-8400</v>
      </c>
    </row>
    <row r="117" spans="2:12" x14ac:dyDescent="0.25">
      <c r="B117" s="68" t="s">
        <v>23</v>
      </c>
      <c r="C117" s="44">
        <v>45717</v>
      </c>
      <c r="D117" s="35"/>
      <c r="E117" s="35">
        <v>2050</v>
      </c>
      <c r="F117" s="67" t="s">
        <v>98</v>
      </c>
      <c r="G117" s="41" t="s">
        <v>80</v>
      </c>
      <c r="H117" s="41" t="s">
        <v>108</v>
      </c>
      <c r="I117" s="69"/>
      <c r="J117" s="41" t="s">
        <v>65</v>
      </c>
      <c r="K117" s="40"/>
      <c r="L117" s="28">
        <f ca="1">IF(ISERROR(OFFSET(L117,-1,0,1,1)+D117-E117),D117-E117,OFFSET(L117,-1,0,1,1)+D117-E117)</f>
        <v>-10450</v>
      </c>
    </row>
    <row r="118" spans="2:12" x14ac:dyDescent="0.25">
      <c r="B118" s="68" t="s">
        <v>23</v>
      </c>
      <c r="C118" s="44">
        <v>45717</v>
      </c>
      <c r="D118" s="35"/>
      <c r="E118" s="35">
        <v>400</v>
      </c>
      <c r="F118" s="67" t="s">
        <v>98</v>
      </c>
      <c r="G118" s="41" t="s">
        <v>80</v>
      </c>
      <c r="H118" s="41" t="s">
        <v>108</v>
      </c>
      <c r="I118" s="69"/>
      <c r="J118" s="41" t="s">
        <v>48</v>
      </c>
      <c r="K118" s="40"/>
      <c r="L118" s="28">
        <f ca="1">IF(ISERROR(OFFSET(L118,-1,0,1,1)+D118-E118),D118-E118,OFFSET(L118,-1,0,1,1)+D118-E118)</f>
        <v>-10850</v>
      </c>
    </row>
    <row r="119" spans="2:12" x14ac:dyDescent="0.25">
      <c r="B119" s="68" t="s">
        <v>23</v>
      </c>
      <c r="C119" s="44">
        <v>45717</v>
      </c>
      <c r="D119" s="35"/>
      <c r="E119" s="35">
        <v>400</v>
      </c>
      <c r="F119" s="67" t="s">
        <v>173</v>
      </c>
      <c r="G119" s="41" t="s">
        <v>80</v>
      </c>
      <c r="H119" s="41" t="s">
        <v>135</v>
      </c>
      <c r="I119" s="69"/>
      <c r="J119" s="41" t="s">
        <v>48</v>
      </c>
      <c r="K119" s="40"/>
      <c r="L119" s="28">
        <f ca="1">IF(ISERROR(OFFSET(L119,-1,0,1,1)+D119-E119),D119-E119,OFFSET(L119,-1,0,1,1)+D119-E119)</f>
        <v>-11250</v>
      </c>
    </row>
    <row r="120" spans="2:12" x14ac:dyDescent="0.25">
      <c r="B120" s="68" t="s">
        <v>23</v>
      </c>
      <c r="C120" s="44">
        <v>45717</v>
      </c>
      <c r="D120" s="35"/>
      <c r="E120" s="35">
        <v>800</v>
      </c>
      <c r="F120" s="67" t="s">
        <v>79</v>
      </c>
      <c r="G120" s="41" t="s">
        <v>80</v>
      </c>
      <c r="H120" s="41" t="s">
        <v>108</v>
      </c>
      <c r="I120" s="69"/>
      <c r="J120" s="41" t="s">
        <v>65</v>
      </c>
      <c r="K120" s="41"/>
      <c r="L120" s="28">
        <f t="shared" ca="1" si="3"/>
        <v>-12050</v>
      </c>
    </row>
    <row r="121" spans="2:12" x14ac:dyDescent="0.25">
      <c r="B121" s="68" t="s">
        <v>23</v>
      </c>
      <c r="C121" s="44">
        <v>45717</v>
      </c>
      <c r="D121" s="35"/>
      <c r="E121" s="35">
        <v>400</v>
      </c>
      <c r="F121" s="67" t="s">
        <v>79</v>
      </c>
      <c r="G121" s="41" t="s">
        <v>80</v>
      </c>
      <c r="H121" s="41" t="s">
        <v>135</v>
      </c>
      <c r="I121" s="69"/>
      <c r="J121" s="41" t="s">
        <v>48</v>
      </c>
      <c r="K121" s="40"/>
      <c r="L121" s="28">
        <f ca="1">IF(ISERROR(OFFSET(L121,-1,0,1,1)+D121-E121),D121-E121,OFFSET(L121,-1,0,1,1)+D121-E121)</f>
        <v>-12450</v>
      </c>
    </row>
    <row r="122" spans="2:12" x14ac:dyDescent="0.25">
      <c r="B122" s="68" t="s">
        <v>23</v>
      </c>
      <c r="C122" s="44">
        <v>45718</v>
      </c>
      <c r="D122" s="35">
        <v>600</v>
      </c>
      <c r="F122" s="68" t="s">
        <v>207</v>
      </c>
      <c r="G122" s="41" t="s">
        <v>80</v>
      </c>
      <c r="H122" s="41" t="s">
        <v>208</v>
      </c>
      <c r="I122" s="69" t="s">
        <v>209</v>
      </c>
      <c r="J122" s="41" t="s">
        <v>99</v>
      </c>
      <c r="K122" s="40"/>
      <c r="L122" s="28">
        <f t="shared" ca="1" si="3"/>
        <v>-11850</v>
      </c>
    </row>
    <row r="123" spans="2:12" x14ac:dyDescent="0.25">
      <c r="B123" s="68" t="s">
        <v>23</v>
      </c>
      <c r="C123" s="44">
        <v>45718</v>
      </c>
      <c r="D123" s="35">
        <v>100</v>
      </c>
      <c r="F123" s="68" t="s">
        <v>207</v>
      </c>
      <c r="G123" s="41" t="s">
        <v>80</v>
      </c>
      <c r="H123" s="41" t="s">
        <v>210</v>
      </c>
      <c r="I123" s="69" t="s">
        <v>211</v>
      </c>
      <c r="J123" s="41" t="s">
        <v>100</v>
      </c>
      <c r="K123" s="40"/>
      <c r="L123" s="28">
        <f ca="1">IF(ISERROR(OFFSET(L123,-1,0,1,1)+D123-E123),D123-E123,OFFSET(L123,-1,0,1,1)+D123-E123)</f>
        <v>-11750</v>
      </c>
    </row>
    <row r="124" spans="2:12" x14ac:dyDescent="0.25">
      <c r="B124" s="70" t="s">
        <v>194</v>
      </c>
      <c r="C124" s="39">
        <v>45722</v>
      </c>
      <c r="D124" s="35"/>
      <c r="E124" s="35">
        <v>15000</v>
      </c>
      <c r="F124" s="67" t="s">
        <v>235</v>
      </c>
      <c r="G124" s="41" t="s">
        <v>80</v>
      </c>
      <c r="H124" s="41" t="s">
        <v>78</v>
      </c>
      <c r="I124" s="42" t="s">
        <v>236</v>
      </c>
      <c r="J124" s="41" t="s">
        <v>119</v>
      </c>
      <c r="K124" s="40"/>
      <c r="L124" s="28">
        <f ca="1">IF(ISERROR(OFFSET(L124,-1,0,1,1)+D124-E124),D124-E124,OFFSET(L124,-1,0,1,1)+D124-E124)</f>
        <v>-26750</v>
      </c>
    </row>
    <row r="125" spans="2:12" x14ac:dyDescent="0.25">
      <c r="B125" s="68" t="s">
        <v>23</v>
      </c>
      <c r="C125" s="44">
        <v>45724</v>
      </c>
      <c r="D125" s="35"/>
      <c r="E125" s="35">
        <v>165</v>
      </c>
      <c r="F125" s="67" t="s">
        <v>192</v>
      </c>
      <c r="G125" s="41" t="s">
        <v>80</v>
      </c>
      <c r="H125" s="41" t="s">
        <v>78</v>
      </c>
      <c r="I125" s="69" t="s">
        <v>193</v>
      </c>
      <c r="J125" s="41" t="s">
        <v>36</v>
      </c>
      <c r="K125" s="40"/>
      <c r="L125" s="28">
        <f t="shared" ca="1" si="3"/>
        <v>-26915</v>
      </c>
    </row>
    <row r="126" spans="2:12" x14ac:dyDescent="0.25">
      <c r="B126" s="70" t="s">
        <v>194</v>
      </c>
      <c r="C126" s="44">
        <v>45724</v>
      </c>
      <c r="D126" s="35"/>
      <c r="E126" s="35">
        <v>7340</v>
      </c>
      <c r="F126" s="67" t="s">
        <v>195</v>
      </c>
      <c r="G126" s="41" t="s">
        <v>80</v>
      </c>
      <c r="H126" s="41" t="s">
        <v>78</v>
      </c>
      <c r="I126" s="69" t="s">
        <v>190</v>
      </c>
      <c r="J126" s="41" t="s">
        <v>103</v>
      </c>
      <c r="K126" s="40"/>
      <c r="L126" s="28">
        <f t="shared" ca="1" si="3"/>
        <v>-34255</v>
      </c>
    </row>
    <row r="127" spans="2:12" x14ac:dyDescent="0.25">
      <c r="B127" s="68" t="s">
        <v>22</v>
      </c>
      <c r="C127" s="39">
        <v>45724</v>
      </c>
      <c r="D127" s="35"/>
      <c r="E127" s="35">
        <v>1400</v>
      </c>
      <c r="F127" s="67" t="s">
        <v>240</v>
      </c>
      <c r="G127" s="41" t="s">
        <v>241</v>
      </c>
      <c r="H127" s="41" t="s">
        <v>78</v>
      </c>
      <c r="I127" s="42" t="s">
        <v>242</v>
      </c>
      <c r="J127" s="41" t="s">
        <v>91</v>
      </c>
      <c r="K127" s="40"/>
      <c r="L127" s="28">
        <f ca="1">IF(ISERROR(OFFSET(L127,-1,0,1,1)+D127-E127),D127-E127,OFFSET(L127,-1,0,1,1)+D127-E127)</f>
        <v>-35655</v>
      </c>
    </row>
    <row r="128" spans="2:12" x14ac:dyDescent="0.25">
      <c r="B128" s="70" t="s">
        <v>22</v>
      </c>
      <c r="C128" s="44">
        <v>45725</v>
      </c>
      <c r="D128" s="35"/>
      <c r="E128" s="35">
        <v>3990</v>
      </c>
      <c r="F128" s="67" t="s">
        <v>201</v>
      </c>
      <c r="G128" s="41" t="s">
        <v>80</v>
      </c>
      <c r="H128" s="41" t="s">
        <v>78</v>
      </c>
      <c r="I128" s="69" t="s">
        <v>202</v>
      </c>
      <c r="J128" s="41" t="s">
        <v>91</v>
      </c>
      <c r="K128" s="40"/>
      <c r="L128" s="28">
        <f ca="1">IF(ISERROR(OFFSET(L128,-1,0,1,1)+D128-E128),D128-E128,OFFSET(L128,-1,0,1,1)+D128-E128)</f>
        <v>-39645</v>
      </c>
    </row>
    <row r="129" spans="2:12" ht="15.6" customHeight="1" x14ac:dyDescent="0.25">
      <c r="B129" s="68" t="s">
        <v>23</v>
      </c>
      <c r="C129" s="44">
        <v>45726</v>
      </c>
      <c r="D129" s="35">
        <v>22000</v>
      </c>
      <c r="F129" s="68" t="s">
        <v>196</v>
      </c>
      <c r="G129" s="41" t="s">
        <v>80</v>
      </c>
      <c r="H129" s="41" t="s">
        <v>197</v>
      </c>
      <c r="I129" s="69" t="s">
        <v>198</v>
      </c>
      <c r="J129" s="41" t="s">
        <v>99</v>
      </c>
      <c r="K129" s="40"/>
      <c r="L129" s="28">
        <f t="shared" ca="1" si="3"/>
        <v>-17645</v>
      </c>
    </row>
    <row r="130" spans="2:12" x14ac:dyDescent="0.25">
      <c r="B130" s="68" t="s">
        <v>191</v>
      </c>
      <c r="C130" s="44">
        <v>45726</v>
      </c>
      <c r="D130" s="35"/>
      <c r="E130" s="35">
        <v>219</v>
      </c>
      <c r="F130" s="68" t="s">
        <v>199</v>
      </c>
      <c r="G130" s="41" t="s">
        <v>80</v>
      </c>
      <c r="H130" s="41" t="s">
        <v>78</v>
      </c>
      <c r="I130" s="69" t="s">
        <v>200</v>
      </c>
      <c r="J130" s="41" t="s">
        <v>109</v>
      </c>
      <c r="K130" s="40"/>
      <c r="L130" s="28">
        <f t="shared" ca="1" si="3"/>
        <v>-17864</v>
      </c>
    </row>
    <row r="131" spans="2:12" x14ac:dyDescent="0.25">
      <c r="B131" s="68" t="s">
        <v>191</v>
      </c>
      <c r="C131" s="44">
        <v>45727</v>
      </c>
      <c r="D131" s="35"/>
      <c r="E131" s="35">
        <v>151.65</v>
      </c>
      <c r="F131" s="68" t="s">
        <v>110</v>
      </c>
      <c r="G131" s="41" t="s">
        <v>203</v>
      </c>
      <c r="H131" s="41" t="s">
        <v>78</v>
      </c>
      <c r="I131" s="69" t="s">
        <v>204</v>
      </c>
      <c r="J131" s="41" t="s">
        <v>109</v>
      </c>
      <c r="K131" s="40"/>
      <c r="L131" s="28">
        <f t="shared" ca="1" si="3"/>
        <v>-18015.650000000001</v>
      </c>
    </row>
    <row r="132" spans="2:12" x14ac:dyDescent="0.25">
      <c r="B132" s="68" t="s">
        <v>23</v>
      </c>
      <c r="C132" s="44">
        <v>45728</v>
      </c>
      <c r="D132" s="35">
        <v>180</v>
      </c>
      <c r="F132" s="68" t="s">
        <v>165</v>
      </c>
      <c r="G132" s="41" t="s">
        <v>80</v>
      </c>
      <c r="H132" s="41" t="s">
        <v>205</v>
      </c>
      <c r="I132" s="69" t="s">
        <v>206</v>
      </c>
      <c r="J132" s="41" t="s">
        <v>99</v>
      </c>
      <c r="K132" s="40"/>
      <c r="L132" s="28">
        <f t="shared" ca="1" si="3"/>
        <v>-17835.650000000001</v>
      </c>
    </row>
    <row r="133" spans="2:12" x14ac:dyDescent="0.25">
      <c r="B133" s="68" t="s">
        <v>191</v>
      </c>
      <c r="C133" s="39">
        <v>45729</v>
      </c>
      <c r="D133" s="35"/>
      <c r="E133" s="35">
        <v>227.5</v>
      </c>
      <c r="F133" s="67" t="s">
        <v>286</v>
      </c>
      <c r="G133" s="41" t="s">
        <v>80</v>
      </c>
      <c r="H133" s="41" t="s">
        <v>78</v>
      </c>
      <c r="I133" s="69" t="s">
        <v>287</v>
      </c>
      <c r="J133" s="41" t="s">
        <v>104</v>
      </c>
      <c r="K133" s="40"/>
      <c r="L133" s="28">
        <f ca="1">IF(ISERROR(OFFSET(L133,-1,0,1,1)+D133-E133),D133-E133,OFFSET(L133,-1,0,1,1)+D133-E133)</f>
        <v>-18063.150000000001</v>
      </c>
    </row>
    <row r="134" spans="2:12" x14ac:dyDescent="0.25">
      <c r="B134" s="68" t="s">
        <v>23</v>
      </c>
      <c r="C134" s="39">
        <v>45731</v>
      </c>
      <c r="D134" s="35">
        <v>9600</v>
      </c>
      <c r="F134" s="67" t="s">
        <v>212</v>
      </c>
      <c r="G134" s="41" t="s">
        <v>80</v>
      </c>
      <c r="H134" s="41" t="s">
        <v>213</v>
      </c>
      <c r="I134" s="69" t="s">
        <v>214</v>
      </c>
      <c r="J134" s="41" t="s">
        <v>99</v>
      </c>
      <c r="K134" s="40"/>
      <c r="L134" s="28">
        <f t="shared" ca="1" si="3"/>
        <v>-8463.1500000000015</v>
      </c>
    </row>
    <row r="135" spans="2:12" x14ac:dyDescent="0.25">
      <c r="B135" s="68" t="s">
        <v>23</v>
      </c>
      <c r="C135" s="44">
        <v>45731</v>
      </c>
      <c r="D135" s="35"/>
      <c r="E135" s="35">
        <v>4500</v>
      </c>
      <c r="F135" s="67" t="s">
        <v>171</v>
      </c>
      <c r="G135" s="41" t="s">
        <v>80</v>
      </c>
      <c r="H135" s="41" t="s">
        <v>108</v>
      </c>
      <c r="I135" s="69"/>
      <c r="J135" s="41" t="s">
        <v>65</v>
      </c>
      <c r="K135" s="40"/>
      <c r="L135" s="28">
        <f t="shared" ca="1" si="3"/>
        <v>-12963.150000000001</v>
      </c>
    </row>
    <row r="136" spans="2:12" x14ac:dyDescent="0.25">
      <c r="B136" s="68" t="s">
        <v>23</v>
      </c>
      <c r="C136" s="44">
        <v>45731</v>
      </c>
      <c r="D136" s="35"/>
      <c r="E136" s="35">
        <v>826</v>
      </c>
      <c r="F136" s="67" t="s">
        <v>171</v>
      </c>
      <c r="G136" s="41" t="s">
        <v>80</v>
      </c>
      <c r="H136" s="41" t="s">
        <v>108</v>
      </c>
      <c r="I136" s="69" t="s">
        <v>215</v>
      </c>
      <c r="J136" s="41" t="s">
        <v>37</v>
      </c>
      <c r="K136" s="40"/>
      <c r="L136" s="28">
        <f ca="1">IF(ISERROR(OFFSET(L136,-1,0,1,1)+D136-E136),D136-E136,OFFSET(L136,-1,0,1,1)+D136-E136)</f>
        <v>-13789.150000000001</v>
      </c>
    </row>
    <row r="137" spans="2:12" x14ac:dyDescent="0.25">
      <c r="B137" s="68" t="s">
        <v>23</v>
      </c>
      <c r="C137" s="44">
        <v>45731</v>
      </c>
      <c r="D137" s="35"/>
      <c r="E137" s="35">
        <v>3500</v>
      </c>
      <c r="F137" s="67" t="s">
        <v>172</v>
      </c>
      <c r="G137" s="41" t="s">
        <v>80</v>
      </c>
      <c r="H137" s="41" t="s">
        <v>108</v>
      </c>
      <c r="I137" s="69"/>
      <c r="J137" s="41" t="s">
        <v>65</v>
      </c>
      <c r="K137" s="40"/>
      <c r="L137" s="28">
        <f t="shared" ca="1" si="3"/>
        <v>-17289.150000000001</v>
      </c>
    </row>
    <row r="138" spans="2:12" x14ac:dyDescent="0.25">
      <c r="B138" s="68" t="s">
        <v>23</v>
      </c>
      <c r="C138" s="44">
        <v>45731</v>
      </c>
      <c r="D138" s="35"/>
      <c r="E138" s="35">
        <v>400</v>
      </c>
      <c r="F138" s="67" t="s">
        <v>172</v>
      </c>
      <c r="G138" s="41" t="s">
        <v>80</v>
      </c>
      <c r="H138" s="41" t="s">
        <v>135</v>
      </c>
      <c r="I138" s="69"/>
      <c r="J138" s="41" t="s">
        <v>48</v>
      </c>
      <c r="K138" s="40"/>
      <c r="L138" s="28">
        <f t="shared" ca="1" si="3"/>
        <v>-17689.150000000001</v>
      </c>
    </row>
    <row r="139" spans="2:12" x14ac:dyDescent="0.25">
      <c r="B139" s="68" t="s">
        <v>23</v>
      </c>
      <c r="C139" s="44">
        <v>45731</v>
      </c>
      <c r="D139" s="35"/>
      <c r="E139" s="35">
        <v>2050</v>
      </c>
      <c r="F139" s="67" t="s">
        <v>98</v>
      </c>
      <c r="G139" s="41" t="s">
        <v>80</v>
      </c>
      <c r="H139" s="41" t="s">
        <v>108</v>
      </c>
      <c r="I139" s="69"/>
      <c r="J139" s="41" t="s">
        <v>65</v>
      </c>
      <c r="K139" s="40"/>
      <c r="L139" s="28">
        <f t="shared" ca="1" si="3"/>
        <v>-19739.150000000001</v>
      </c>
    </row>
    <row r="140" spans="2:12" x14ac:dyDescent="0.25">
      <c r="B140" s="68" t="s">
        <v>23</v>
      </c>
      <c r="C140" s="44">
        <v>45731</v>
      </c>
      <c r="D140" s="35"/>
      <c r="E140" s="35">
        <v>400</v>
      </c>
      <c r="F140" s="67" t="s">
        <v>98</v>
      </c>
      <c r="G140" s="41" t="s">
        <v>80</v>
      </c>
      <c r="H140" s="41" t="s">
        <v>135</v>
      </c>
      <c r="I140" s="69"/>
      <c r="J140" s="41" t="s">
        <v>48</v>
      </c>
      <c r="K140" s="40"/>
      <c r="L140" s="28">
        <f t="shared" ca="1" si="3"/>
        <v>-20139.150000000001</v>
      </c>
    </row>
    <row r="141" spans="2:12" x14ac:dyDescent="0.25">
      <c r="B141" s="68" t="s">
        <v>23</v>
      </c>
      <c r="C141" s="44">
        <v>45731</v>
      </c>
      <c r="D141" s="35"/>
      <c r="E141" s="35">
        <v>400</v>
      </c>
      <c r="F141" s="67" t="s">
        <v>173</v>
      </c>
      <c r="G141" s="41" t="s">
        <v>80</v>
      </c>
      <c r="H141" s="41" t="s">
        <v>108</v>
      </c>
      <c r="I141" s="69" t="s">
        <v>216</v>
      </c>
      <c r="J141" s="41" t="s">
        <v>65</v>
      </c>
      <c r="K141" s="40"/>
      <c r="L141" s="28">
        <f t="shared" ca="1" si="3"/>
        <v>-20539.150000000001</v>
      </c>
    </row>
    <row r="142" spans="2:12" x14ac:dyDescent="0.25">
      <c r="B142" s="68" t="s">
        <v>23</v>
      </c>
      <c r="C142" s="44">
        <v>45731</v>
      </c>
      <c r="D142" s="35"/>
      <c r="E142" s="35">
        <v>800</v>
      </c>
      <c r="F142" s="67" t="s">
        <v>79</v>
      </c>
      <c r="G142" s="41" t="s">
        <v>80</v>
      </c>
      <c r="H142" s="41" t="s">
        <v>108</v>
      </c>
      <c r="I142" s="69"/>
      <c r="J142" s="41" t="s">
        <v>65</v>
      </c>
      <c r="K142" s="40"/>
      <c r="L142" s="28">
        <f t="shared" ca="1" si="3"/>
        <v>-21339.15</v>
      </c>
    </row>
    <row r="143" spans="2:12" x14ac:dyDescent="0.25">
      <c r="B143" s="68" t="s">
        <v>23</v>
      </c>
      <c r="C143" s="44">
        <v>45731</v>
      </c>
      <c r="D143" s="35"/>
      <c r="E143" s="35">
        <v>400</v>
      </c>
      <c r="F143" s="67" t="s">
        <v>79</v>
      </c>
      <c r="G143" s="41" t="s">
        <v>80</v>
      </c>
      <c r="H143" s="41" t="s">
        <v>135</v>
      </c>
      <c r="I143" s="69"/>
      <c r="J143" s="41" t="s">
        <v>48</v>
      </c>
      <c r="K143" s="40"/>
      <c r="L143" s="28">
        <f t="shared" ca="1" si="3"/>
        <v>-21739.15</v>
      </c>
    </row>
    <row r="144" spans="2:12" x14ac:dyDescent="0.25">
      <c r="B144" s="68" t="s">
        <v>23</v>
      </c>
      <c r="C144" s="44">
        <v>45733</v>
      </c>
      <c r="D144" s="35">
        <v>840</v>
      </c>
      <c r="F144" s="68" t="s">
        <v>174</v>
      </c>
      <c r="G144" s="41" t="s">
        <v>80</v>
      </c>
      <c r="H144" s="41" t="s">
        <v>230</v>
      </c>
      <c r="I144" s="69" t="s">
        <v>231</v>
      </c>
      <c r="J144" s="41" t="s">
        <v>99</v>
      </c>
      <c r="K144" s="40"/>
      <c r="L144" s="28">
        <f t="shared" ca="1" si="3"/>
        <v>-20899.150000000001</v>
      </c>
    </row>
    <row r="145" spans="2:12" x14ac:dyDescent="0.25">
      <c r="B145" s="68" t="s">
        <v>23</v>
      </c>
      <c r="C145" s="44">
        <v>45733</v>
      </c>
      <c r="D145" s="35">
        <v>2400</v>
      </c>
      <c r="F145" s="68" t="s">
        <v>232</v>
      </c>
      <c r="G145" s="41" t="s">
        <v>80</v>
      </c>
      <c r="H145" s="41" t="s">
        <v>233</v>
      </c>
      <c r="I145" s="69" t="s">
        <v>234</v>
      </c>
      <c r="J145" s="41" t="s">
        <v>99</v>
      </c>
      <c r="K145" s="40"/>
      <c r="L145" s="28">
        <f t="shared" ca="1" si="3"/>
        <v>-18499.150000000001</v>
      </c>
    </row>
    <row r="146" spans="2:12" x14ac:dyDescent="0.25">
      <c r="B146" s="68" t="s">
        <v>22</v>
      </c>
      <c r="C146" s="44">
        <v>45733</v>
      </c>
      <c r="D146" s="35">
        <v>200</v>
      </c>
      <c r="F146" s="67" t="s">
        <v>267</v>
      </c>
      <c r="G146" s="41" t="s">
        <v>80</v>
      </c>
      <c r="H146" s="41" t="s">
        <v>237</v>
      </c>
      <c r="I146" s="42"/>
      <c r="J146" s="41" t="s">
        <v>99</v>
      </c>
      <c r="K146" s="40"/>
      <c r="L146" s="28">
        <f ca="1">IF(ISERROR(OFFSET(L146,-1,0,1,1)+D146-E146),D146-E146,OFFSET(L146,-1,0,1,1)+D146-E146)</f>
        <v>-18299.150000000001</v>
      </c>
    </row>
    <row r="147" spans="2:12" x14ac:dyDescent="0.25">
      <c r="B147" s="68" t="s">
        <v>22</v>
      </c>
      <c r="C147" s="44">
        <v>45735</v>
      </c>
      <c r="D147" s="35">
        <v>500</v>
      </c>
      <c r="F147" s="67" t="s">
        <v>239</v>
      </c>
      <c r="G147" s="41" t="s">
        <v>80</v>
      </c>
      <c r="H147" s="41" t="s">
        <v>249</v>
      </c>
      <c r="I147" s="69" t="s">
        <v>238</v>
      </c>
      <c r="J147" s="41" t="s">
        <v>99</v>
      </c>
      <c r="K147" s="40"/>
      <c r="L147" s="28">
        <f t="shared" ca="1" si="3"/>
        <v>-17799.150000000001</v>
      </c>
    </row>
    <row r="148" spans="2:12" x14ac:dyDescent="0.25">
      <c r="B148" s="68" t="s">
        <v>23</v>
      </c>
      <c r="C148" s="39">
        <v>45736</v>
      </c>
      <c r="D148" s="35"/>
      <c r="E148" s="35">
        <v>374</v>
      </c>
      <c r="F148" s="67" t="s">
        <v>243</v>
      </c>
      <c r="G148" s="41" t="s">
        <v>80</v>
      </c>
      <c r="H148" s="41" t="s">
        <v>78</v>
      </c>
      <c r="I148" s="69" t="s">
        <v>244</v>
      </c>
      <c r="J148" s="41" t="s">
        <v>91</v>
      </c>
      <c r="K148" s="40"/>
      <c r="L148" s="28">
        <f t="shared" ca="1" si="3"/>
        <v>-18173.150000000001</v>
      </c>
    </row>
    <row r="149" spans="2:12" x14ac:dyDescent="0.25">
      <c r="B149" s="68" t="s">
        <v>23</v>
      </c>
      <c r="C149" s="39">
        <v>45736</v>
      </c>
      <c r="D149" s="35">
        <v>950</v>
      </c>
      <c r="F149" s="67" t="s">
        <v>254</v>
      </c>
      <c r="G149" s="41" t="s">
        <v>80</v>
      </c>
      <c r="H149" s="41" t="s">
        <v>78</v>
      </c>
      <c r="I149" s="42" t="s">
        <v>255</v>
      </c>
      <c r="J149" s="41" t="s">
        <v>91</v>
      </c>
      <c r="K149" s="40"/>
      <c r="L149" s="28">
        <f ca="1">IF(ISERROR(OFFSET(L149,-1,0,1,1)+D149-E149),D149-E149,OFFSET(L149,-1,0,1,1)+D149-E149)</f>
        <v>-17223.150000000001</v>
      </c>
    </row>
    <row r="150" spans="2:12" x14ac:dyDescent="0.25">
      <c r="B150" s="70" t="s">
        <v>194</v>
      </c>
      <c r="C150" s="39">
        <v>45736</v>
      </c>
      <c r="D150" s="35"/>
      <c r="E150" s="35">
        <v>425</v>
      </c>
      <c r="F150" s="67" t="s">
        <v>262</v>
      </c>
      <c r="G150" s="41">
        <v>152378</v>
      </c>
      <c r="H150" s="41" t="s">
        <v>78</v>
      </c>
      <c r="I150" s="42" t="s">
        <v>263</v>
      </c>
      <c r="J150" s="41" t="s">
        <v>115</v>
      </c>
      <c r="K150" s="40"/>
      <c r="L150" s="28">
        <f ca="1">IF(ISERROR(OFFSET(L150,-1,0,1,1)+D150-E150),D150-E150,OFFSET(L150,-1,0,1,1)+D150-E150)</f>
        <v>-17648.150000000001</v>
      </c>
    </row>
    <row r="151" spans="2:12" x14ac:dyDescent="0.25">
      <c r="B151" s="68" t="s">
        <v>23</v>
      </c>
      <c r="C151" s="44">
        <v>45738</v>
      </c>
      <c r="D151" s="35"/>
      <c r="E151" s="35">
        <v>500</v>
      </c>
      <c r="F151" s="67" t="s">
        <v>245</v>
      </c>
      <c r="G151" s="41" t="s">
        <v>80</v>
      </c>
      <c r="H151" s="41" t="s">
        <v>78</v>
      </c>
      <c r="I151" s="42" t="s">
        <v>246</v>
      </c>
      <c r="J151" s="41" t="s">
        <v>36</v>
      </c>
      <c r="K151" s="40"/>
      <c r="L151" s="28">
        <f t="shared" ca="1" si="3"/>
        <v>-18148.150000000001</v>
      </c>
    </row>
    <row r="152" spans="2:12" x14ac:dyDescent="0.25">
      <c r="B152" s="68" t="s">
        <v>23</v>
      </c>
      <c r="C152" s="44">
        <v>45738</v>
      </c>
      <c r="D152" s="35"/>
      <c r="E152" s="35">
        <v>150</v>
      </c>
      <c r="F152" s="67" t="s">
        <v>247</v>
      </c>
      <c r="G152" s="41" t="s">
        <v>80</v>
      </c>
      <c r="H152" s="41" t="s">
        <v>78</v>
      </c>
      <c r="I152" s="42" t="s">
        <v>248</v>
      </c>
      <c r="J152" s="41" t="s">
        <v>36</v>
      </c>
      <c r="K152" s="40"/>
      <c r="L152" s="28">
        <f t="shared" ca="1" si="3"/>
        <v>-18298.150000000001</v>
      </c>
    </row>
    <row r="153" spans="2:12" x14ac:dyDescent="0.25">
      <c r="B153" s="68" t="s">
        <v>23</v>
      </c>
      <c r="C153" s="44">
        <v>45740</v>
      </c>
      <c r="D153" s="35">
        <v>6000</v>
      </c>
      <c r="F153" s="67" t="s">
        <v>252</v>
      </c>
      <c r="G153" s="41" t="s">
        <v>80</v>
      </c>
      <c r="H153" s="41" t="s">
        <v>250</v>
      </c>
      <c r="I153" s="69" t="s">
        <v>251</v>
      </c>
      <c r="J153" s="41" t="s">
        <v>99</v>
      </c>
      <c r="K153" s="40"/>
      <c r="L153" s="28">
        <f t="shared" ca="1" si="3"/>
        <v>-12298.150000000001</v>
      </c>
    </row>
    <row r="154" spans="2:12" x14ac:dyDescent="0.25">
      <c r="B154" s="68" t="s">
        <v>22</v>
      </c>
      <c r="C154" s="44">
        <v>45740</v>
      </c>
      <c r="D154" s="35">
        <v>6000</v>
      </c>
      <c r="F154" s="68" t="s">
        <v>253</v>
      </c>
      <c r="G154" s="41" t="s">
        <v>80</v>
      </c>
      <c r="H154" s="41" t="s">
        <v>257</v>
      </c>
      <c r="I154" s="69" t="s">
        <v>251</v>
      </c>
      <c r="J154" s="41" t="s">
        <v>99</v>
      </c>
      <c r="K154" s="40"/>
      <c r="L154" s="28">
        <f t="shared" ca="1" si="3"/>
        <v>-6298.1500000000015</v>
      </c>
    </row>
    <row r="155" spans="2:12" x14ac:dyDescent="0.25">
      <c r="B155" s="70" t="s">
        <v>194</v>
      </c>
      <c r="C155" s="39">
        <v>45740</v>
      </c>
      <c r="D155" s="35"/>
      <c r="E155" s="35">
        <v>2000</v>
      </c>
      <c r="F155" s="67" t="s">
        <v>264</v>
      </c>
      <c r="G155" s="41" t="s">
        <v>80</v>
      </c>
      <c r="H155" s="41" t="s">
        <v>108</v>
      </c>
      <c r="I155" s="69" t="s">
        <v>265</v>
      </c>
      <c r="J155" s="41" t="s">
        <v>65</v>
      </c>
      <c r="K155" s="40"/>
      <c r="L155" s="28">
        <f ca="1">IF(ISERROR(OFFSET(L155,-1,0,1,1)+D155-E155),D155-E155,OFFSET(L155,-1,0,1,1)+D155-E155)</f>
        <v>-8298.1500000000015</v>
      </c>
    </row>
    <row r="156" spans="2:12" x14ac:dyDescent="0.25">
      <c r="B156" s="68" t="s">
        <v>23</v>
      </c>
      <c r="C156" s="44">
        <v>45741</v>
      </c>
      <c r="D156" s="35">
        <v>2400</v>
      </c>
      <c r="F156" s="40" t="s">
        <v>256</v>
      </c>
      <c r="G156" s="41" t="s">
        <v>80</v>
      </c>
      <c r="H156" s="41" t="s">
        <v>259</v>
      </c>
      <c r="I156" s="69" t="s">
        <v>234</v>
      </c>
      <c r="J156" s="41" t="s">
        <v>99</v>
      </c>
      <c r="K156" s="40"/>
      <c r="L156" s="28">
        <f t="shared" ca="1" si="3"/>
        <v>-5898.1500000000015</v>
      </c>
    </row>
    <row r="157" spans="2:12" x14ac:dyDescent="0.25">
      <c r="B157" s="68" t="s">
        <v>23</v>
      </c>
      <c r="C157" s="44">
        <v>45745</v>
      </c>
      <c r="D157" s="35">
        <v>2400</v>
      </c>
      <c r="F157" s="40" t="s">
        <v>258</v>
      </c>
      <c r="G157" s="41" t="s">
        <v>80</v>
      </c>
      <c r="H157" s="41" t="s">
        <v>268</v>
      </c>
      <c r="I157" s="69" t="s">
        <v>234</v>
      </c>
      <c r="J157" s="41" t="s">
        <v>99</v>
      </c>
      <c r="K157" s="40"/>
      <c r="L157" s="28">
        <f t="shared" ca="1" si="3"/>
        <v>-3498.1500000000015</v>
      </c>
    </row>
    <row r="158" spans="2:12" x14ac:dyDescent="0.25">
      <c r="B158" s="68" t="s">
        <v>23</v>
      </c>
      <c r="C158" s="44">
        <v>45745</v>
      </c>
      <c r="D158" s="35">
        <v>300</v>
      </c>
      <c r="F158" s="40" t="s">
        <v>258</v>
      </c>
      <c r="G158" s="41" t="s">
        <v>80</v>
      </c>
      <c r="H158" s="41" t="s">
        <v>260</v>
      </c>
      <c r="I158" s="69" t="s">
        <v>261</v>
      </c>
      <c r="J158" s="41" t="s">
        <v>100</v>
      </c>
      <c r="K158" s="40"/>
      <c r="L158" s="28">
        <f t="shared" ca="1" si="3"/>
        <v>-3198.1500000000015</v>
      </c>
    </row>
    <row r="159" spans="2:12" x14ac:dyDescent="0.25">
      <c r="B159" s="68" t="s">
        <v>23</v>
      </c>
      <c r="C159" s="44">
        <v>45745</v>
      </c>
      <c r="D159" s="35"/>
      <c r="E159" s="35">
        <v>4500</v>
      </c>
      <c r="F159" s="67" t="s">
        <v>171</v>
      </c>
      <c r="G159" s="41" t="s">
        <v>80</v>
      </c>
      <c r="H159" s="41" t="s">
        <v>108</v>
      </c>
      <c r="I159" s="69"/>
      <c r="J159" s="41" t="s">
        <v>65</v>
      </c>
      <c r="K159" s="40"/>
      <c r="L159" s="28">
        <f t="shared" ref="L159:L161" ca="1" si="4">IF(ISERROR(OFFSET(L159,-1,0,1,1)+D159-E159),D159-E159,OFFSET(L159,-1,0,1,1)+D159-E159)</f>
        <v>-7698.1500000000015</v>
      </c>
    </row>
    <row r="160" spans="2:12" x14ac:dyDescent="0.25">
      <c r="B160" s="68" t="s">
        <v>23</v>
      </c>
      <c r="C160" s="44">
        <v>45745</v>
      </c>
      <c r="D160" s="35"/>
      <c r="E160" s="35">
        <v>3500</v>
      </c>
      <c r="F160" s="67" t="s">
        <v>172</v>
      </c>
      <c r="G160" s="41" t="s">
        <v>80</v>
      </c>
      <c r="H160" s="41" t="s">
        <v>108</v>
      </c>
      <c r="I160" s="69"/>
      <c r="J160" s="41" t="s">
        <v>65</v>
      </c>
      <c r="K160" s="40"/>
      <c r="L160" s="28">
        <f t="shared" ca="1" si="4"/>
        <v>-11198.150000000001</v>
      </c>
    </row>
    <row r="161" spans="2:12" x14ac:dyDescent="0.25">
      <c r="B161" s="68" t="s">
        <v>23</v>
      </c>
      <c r="C161" s="44">
        <v>45745</v>
      </c>
      <c r="D161" s="35"/>
      <c r="E161" s="35">
        <v>400</v>
      </c>
      <c r="F161" s="67" t="s">
        <v>172</v>
      </c>
      <c r="G161" s="41" t="s">
        <v>80</v>
      </c>
      <c r="H161" s="41" t="s">
        <v>135</v>
      </c>
      <c r="I161" s="69"/>
      <c r="J161" s="41" t="s">
        <v>48</v>
      </c>
      <c r="K161" s="40"/>
      <c r="L161" s="28">
        <f t="shared" ca="1" si="4"/>
        <v>-11598.150000000001</v>
      </c>
    </row>
    <row r="162" spans="2:12" x14ac:dyDescent="0.25">
      <c r="B162" s="68" t="s">
        <v>23</v>
      </c>
      <c r="C162" s="44">
        <v>45745</v>
      </c>
      <c r="D162" s="35"/>
      <c r="E162" s="35">
        <v>2050</v>
      </c>
      <c r="F162" s="67" t="s">
        <v>98</v>
      </c>
      <c r="G162" s="41" t="s">
        <v>80</v>
      </c>
      <c r="H162" s="41" t="s">
        <v>108</v>
      </c>
      <c r="I162" s="69"/>
      <c r="J162" s="41" t="s">
        <v>65</v>
      </c>
      <c r="K162" s="40"/>
      <c r="L162" s="28">
        <f ca="1">IF(ISERROR(OFFSET(L162,-1,0,1,1)+D162-E162),D162-E162,OFFSET(L162,-1,0,1,1)+D162-E162)</f>
        <v>-13648.150000000001</v>
      </c>
    </row>
    <row r="163" spans="2:12" x14ac:dyDescent="0.25">
      <c r="B163" s="68" t="s">
        <v>23</v>
      </c>
      <c r="C163" s="44">
        <v>45745</v>
      </c>
      <c r="D163" s="35"/>
      <c r="E163" s="35">
        <v>400</v>
      </c>
      <c r="F163" s="67" t="s">
        <v>98</v>
      </c>
      <c r="G163" s="41" t="s">
        <v>80</v>
      </c>
      <c r="H163" s="41" t="s">
        <v>135</v>
      </c>
      <c r="I163" s="69"/>
      <c r="J163" s="41" t="s">
        <v>48</v>
      </c>
      <c r="K163" s="40"/>
      <c r="L163" s="28">
        <f ca="1">IF(ISERROR(OFFSET(L163,-1,0,1,1)+D163-E163),D163-E163,OFFSET(L163,-1,0,1,1)+D163-E163)</f>
        <v>-14048.150000000001</v>
      </c>
    </row>
    <row r="164" spans="2:12" x14ac:dyDescent="0.25">
      <c r="B164" s="68" t="s">
        <v>23</v>
      </c>
      <c r="C164" s="44">
        <v>45745</v>
      </c>
      <c r="D164" s="35"/>
      <c r="E164" s="35">
        <v>400</v>
      </c>
      <c r="F164" s="67" t="s">
        <v>173</v>
      </c>
      <c r="G164" s="41" t="s">
        <v>80</v>
      </c>
      <c r="H164" s="41" t="s">
        <v>135</v>
      </c>
      <c r="I164" s="69"/>
      <c r="J164" s="41" t="s">
        <v>48</v>
      </c>
      <c r="K164" s="40"/>
      <c r="L164" s="28">
        <f ca="1">IF(ISERROR(OFFSET(L164,-1,0,1,1)+D164-E164),D164-E164,OFFSET(L164,-1,0,1,1)+D164-E164)</f>
        <v>-14448.150000000001</v>
      </c>
    </row>
    <row r="165" spans="2:12" x14ac:dyDescent="0.25">
      <c r="B165" s="68" t="s">
        <v>23</v>
      </c>
      <c r="C165" s="44">
        <v>45745</v>
      </c>
      <c r="D165" s="35"/>
      <c r="E165" s="35">
        <v>800</v>
      </c>
      <c r="F165" s="67" t="s">
        <v>79</v>
      </c>
      <c r="G165" s="41" t="s">
        <v>80</v>
      </c>
      <c r="H165" s="41" t="s">
        <v>108</v>
      </c>
      <c r="I165" s="69"/>
      <c r="J165" s="41" t="s">
        <v>65</v>
      </c>
      <c r="K165" s="40"/>
      <c r="L165" s="28">
        <f ca="1">IF(ISERROR(OFFSET(L165,-1,0,1,1)+D165-E165),D165-E165,OFFSET(L165,-1,0,1,1)+D165-E165)</f>
        <v>-15248.150000000001</v>
      </c>
    </row>
    <row r="166" spans="2:12" x14ac:dyDescent="0.25">
      <c r="B166" s="68" t="s">
        <v>23</v>
      </c>
      <c r="C166" s="44">
        <v>45745</v>
      </c>
      <c r="D166" s="35"/>
      <c r="E166" s="35">
        <v>400</v>
      </c>
      <c r="F166" s="67" t="s">
        <v>79</v>
      </c>
      <c r="G166" s="41" t="s">
        <v>80</v>
      </c>
      <c r="H166" s="41" t="s">
        <v>135</v>
      </c>
      <c r="I166" s="69"/>
      <c r="J166" s="41" t="s">
        <v>48</v>
      </c>
      <c r="K166" s="40"/>
      <c r="L166" s="28">
        <f ca="1">IF(ISERROR(OFFSET(L166,-1,0,1,1)+D166-E166),D166-E166,OFFSET(L166,-1,0,1,1)+D166-E166)</f>
        <v>-15648.150000000001</v>
      </c>
    </row>
    <row r="167" spans="2:12" x14ac:dyDescent="0.25">
      <c r="B167" s="68" t="s">
        <v>23</v>
      </c>
      <c r="C167" s="44">
        <v>45747</v>
      </c>
      <c r="D167" s="35"/>
      <c r="E167" s="35">
        <v>2196</v>
      </c>
      <c r="F167" s="67" t="s">
        <v>144</v>
      </c>
      <c r="G167" s="41" t="s">
        <v>80</v>
      </c>
      <c r="H167" s="41" t="s">
        <v>78</v>
      </c>
      <c r="I167" s="42" t="s">
        <v>266</v>
      </c>
      <c r="J167" s="41" t="s">
        <v>103</v>
      </c>
      <c r="K167" s="40"/>
      <c r="L167" s="28">
        <f t="shared" ref="L167:L172" ca="1" si="5">IF(ISERROR(OFFSET(L167,-1,0,1,1)+D167-E167),D167-E167,OFFSET(L167,-1,0,1,1)+D167-E167)</f>
        <v>-17844.150000000001</v>
      </c>
    </row>
    <row r="168" spans="2:12" x14ac:dyDescent="0.25">
      <c r="B168" s="38"/>
      <c r="C168" s="44"/>
      <c r="D168" s="35"/>
      <c r="F168" s="38"/>
      <c r="G168" s="41"/>
      <c r="H168" s="41"/>
      <c r="I168" s="42"/>
      <c r="J168" s="41"/>
      <c r="K168" s="40"/>
      <c r="L168" s="28">
        <f t="shared" ca="1" si="5"/>
        <v>-17844.150000000001</v>
      </c>
    </row>
    <row r="169" spans="2:12" x14ac:dyDescent="0.25">
      <c r="B169" s="38"/>
      <c r="C169" s="44"/>
      <c r="D169" s="35"/>
      <c r="F169" s="38"/>
      <c r="G169" s="41"/>
      <c r="H169" s="41"/>
      <c r="I169" s="42"/>
      <c r="J169" s="41"/>
      <c r="K169" s="40"/>
      <c r="L169" s="28">
        <f t="shared" ca="1" si="5"/>
        <v>-17844.150000000001</v>
      </c>
    </row>
    <row r="170" spans="2:12" x14ac:dyDescent="0.25">
      <c r="B170" s="38"/>
      <c r="C170" s="44"/>
      <c r="D170" s="35"/>
      <c r="F170" s="38"/>
      <c r="G170" s="41"/>
      <c r="H170" s="41"/>
      <c r="I170" s="42"/>
      <c r="J170" s="41"/>
      <c r="K170" s="40"/>
      <c r="L170" s="28">
        <f t="shared" ca="1" si="5"/>
        <v>-17844.150000000001</v>
      </c>
    </row>
    <row r="171" spans="2:12" x14ac:dyDescent="0.25">
      <c r="B171" s="38"/>
      <c r="C171" s="44"/>
      <c r="D171" s="35"/>
      <c r="F171" s="38"/>
      <c r="G171" s="41"/>
      <c r="H171" s="41"/>
      <c r="I171" s="42"/>
      <c r="J171" s="41"/>
      <c r="K171" s="40"/>
      <c r="L171" s="28">
        <f t="shared" ca="1" si="5"/>
        <v>-17844.150000000001</v>
      </c>
    </row>
    <row r="172" spans="2:12" x14ac:dyDescent="0.25">
      <c r="B172" s="38"/>
      <c r="C172" s="44"/>
      <c r="D172" s="57"/>
      <c r="F172" s="40"/>
      <c r="G172" s="41"/>
      <c r="H172" s="41"/>
      <c r="I172" s="42"/>
      <c r="J172" s="41"/>
      <c r="K172" s="40"/>
      <c r="L172" s="28">
        <f t="shared" ca="1" si="5"/>
        <v>-17844.150000000001</v>
      </c>
    </row>
    <row r="173" spans="2:12" x14ac:dyDescent="0.25">
      <c r="B173" s="47"/>
      <c r="C173" s="48"/>
      <c r="D173" s="52">
        <f>SUBTOTAL(109,Marzo_2024[INGRESO])</f>
        <v>54470</v>
      </c>
      <c r="E173" s="52">
        <f>SUBTOTAL(109,Marzo_2024[EGRESO])</f>
        <v>72314.149999999994</v>
      </c>
      <c r="F173" s="49"/>
      <c r="G173" s="50"/>
      <c r="H173" s="50"/>
      <c r="I173" s="51"/>
      <c r="J173" s="50"/>
      <c r="K173" s="49"/>
      <c r="L173" s="53"/>
    </row>
    <row r="174" spans="2:12" x14ac:dyDescent="0.25">
      <c r="D174" s="35"/>
    </row>
    <row r="175" spans="2:12" x14ac:dyDescent="0.25">
      <c r="B175" s="76" t="s">
        <v>123</v>
      </c>
      <c r="C175" s="77"/>
      <c r="D175" s="77"/>
      <c r="E175" s="77"/>
      <c r="F175" s="77"/>
      <c r="G175" s="77"/>
      <c r="H175" s="77"/>
      <c r="I175" s="77"/>
      <c r="J175" s="77"/>
      <c r="K175" s="77"/>
      <c r="L175" s="77"/>
    </row>
    <row r="176" spans="2:12" x14ac:dyDescent="0.25">
      <c r="B176" s="36" t="s">
        <v>16</v>
      </c>
      <c r="C176" s="37" t="s">
        <v>17</v>
      </c>
      <c r="D176" s="46" t="s">
        <v>73</v>
      </c>
      <c r="E176" s="46" t="s">
        <v>74</v>
      </c>
      <c r="F176" s="37" t="s">
        <v>54</v>
      </c>
      <c r="G176" s="37" t="s">
        <v>76</v>
      </c>
      <c r="H176" s="37" t="s">
        <v>77</v>
      </c>
      <c r="I176" s="37" t="s">
        <v>75</v>
      </c>
      <c r="J176" s="37" t="s">
        <v>18</v>
      </c>
      <c r="K176" s="37" t="s">
        <v>64</v>
      </c>
      <c r="L176" s="37" t="s">
        <v>19</v>
      </c>
    </row>
    <row r="177" spans="2:12" x14ac:dyDescent="0.25">
      <c r="B177" s="68" t="s">
        <v>23</v>
      </c>
      <c r="C177" s="44">
        <v>45748</v>
      </c>
      <c r="D177" s="35"/>
      <c r="E177" s="35">
        <v>1690</v>
      </c>
      <c r="F177" s="67" t="s">
        <v>195</v>
      </c>
      <c r="G177" s="41" t="s">
        <v>80</v>
      </c>
      <c r="H177" s="41" t="s">
        <v>78</v>
      </c>
      <c r="I177" s="69" t="s">
        <v>190</v>
      </c>
      <c r="J177" s="41" t="s">
        <v>103</v>
      </c>
      <c r="K177" s="40"/>
      <c r="L177" s="28">
        <f t="shared" ref="L177:L212" ca="1" si="6">IF(ISERROR(OFFSET(L177,-1,0,1,1)+D177-E177),D177-E177,OFFSET(L177,-1,0,1,1)+D177-E177)</f>
        <v>-1690</v>
      </c>
    </row>
    <row r="178" spans="2:12" x14ac:dyDescent="0.25">
      <c r="B178" s="68" t="s">
        <v>22</v>
      </c>
      <c r="C178" s="44">
        <v>45751</v>
      </c>
      <c r="D178" s="35">
        <v>4320</v>
      </c>
      <c r="F178" s="67" t="s">
        <v>269</v>
      </c>
      <c r="G178" s="41" t="s">
        <v>80</v>
      </c>
      <c r="H178" s="41" t="s">
        <v>270</v>
      </c>
      <c r="I178" s="69" t="s">
        <v>271</v>
      </c>
      <c r="J178" s="41" t="s">
        <v>99</v>
      </c>
      <c r="K178" s="40"/>
      <c r="L178" s="28">
        <f t="shared" ca="1" si="6"/>
        <v>2630</v>
      </c>
    </row>
    <row r="179" spans="2:12" x14ac:dyDescent="0.25">
      <c r="B179" s="68" t="s">
        <v>23</v>
      </c>
      <c r="C179" s="44">
        <v>45752</v>
      </c>
      <c r="D179" s="35"/>
      <c r="E179" s="35">
        <v>110</v>
      </c>
      <c r="F179" s="67" t="s">
        <v>247</v>
      </c>
      <c r="G179" s="41" t="s">
        <v>80</v>
      </c>
      <c r="H179" s="41" t="s">
        <v>78</v>
      </c>
      <c r="I179" s="69" t="s">
        <v>272</v>
      </c>
      <c r="J179" s="41" t="s">
        <v>36</v>
      </c>
      <c r="K179" s="40"/>
      <c r="L179" s="28">
        <f t="shared" ca="1" si="6"/>
        <v>2520</v>
      </c>
    </row>
    <row r="180" spans="2:12" x14ac:dyDescent="0.25">
      <c r="B180" s="68" t="s">
        <v>23</v>
      </c>
      <c r="C180" s="44">
        <v>45758</v>
      </c>
      <c r="D180" s="35">
        <v>4800</v>
      </c>
      <c r="F180" s="67" t="s">
        <v>273</v>
      </c>
      <c r="G180" s="41" t="s">
        <v>80</v>
      </c>
      <c r="H180" s="41" t="s">
        <v>275</v>
      </c>
      <c r="I180" s="69" t="s">
        <v>277</v>
      </c>
      <c r="J180" s="41" t="s">
        <v>99</v>
      </c>
      <c r="K180" s="40"/>
      <c r="L180" s="28">
        <f t="shared" ca="1" si="6"/>
        <v>7320</v>
      </c>
    </row>
    <row r="181" spans="2:12" x14ac:dyDescent="0.25">
      <c r="B181" s="68" t="s">
        <v>23</v>
      </c>
      <c r="C181" s="44">
        <v>45758</v>
      </c>
      <c r="D181" s="35">
        <v>1800</v>
      </c>
      <c r="F181" s="67" t="s">
        <v>274</v>
      </c>
      <c r="G181" s="41" t="s">
        <v>80</v>
      </c>
      <c r="H181" s="41" t="s">
        <v>276</v>
      </c>
      <c r="I181" s="69" t="s">
        <v>278</v>
      </c>
      <c r="J181" s="41" t="s">
        <v>99</v>
      </c>
      <c r="K181" s="40"/>
      <c r="L181" s="28">
        <f t="shared" ca="1" si="6"/>
        <v>9120</v>
      </c>
    </row>
    <row r="182" spans="2:12" x14ac:dyDescent="0.25">
      <c r="B182" s="68" t="s">
        <v>22</v>
      </c>
      <c r="C182" s="43">
        <v>45759</v>
      </c>
      <c r="D182" s="35"/>
      <c r="E182" s="35">
        <v>4500</v>
      </c>
      <c r="F182" s="67" t="s">
        <v>171</v>
      </c>
      <c r="G182" s="41" t="s">
        <v>80</v>
      </c>
      <c r="H182" s="41" t="s">
        <v>108</v>
      </c>
      <c r="I182" s="69"/>
      <c r="J182" s="41" t="s">
        <v>65</v>
      </c>
      <c r="K182" s="40"/>
      <c r="L182" s="28">
        <f t="shared" ca="1" si="6"/>
        <v>4620</v>
      </c>
    </row>
    <row r="183" spans="2:12" x14ac:dyDescent="0.25">
      <c r="B183" s="68" t="s">
        <v>22</v>
      </c>
      <c r="C183" s="43">
        <v>45759</v>
      </c>
      <c r="D183" s="35"/>
      <c r="E183" s="35">
        <v>3500</v>
      </c>
      <c r="F183" s="67" t="s">
        <v>172</v>
      </c>
      <c r="G183" s="41" t="s">
        <v>80</v>
      </c>
      <c r="H183" s="41" t="s">
        <v>108</v>
      </c>
      <c r="I183" s="69"/>
      <c r="J183" s="41" t="s">
        <v>65</v>
      </c>
      <c r="K183" s="40"/>
      <c r="L183" s="28">
        <f t="shared" ca="1" si="6"/>
        <v>1120</v>
      </c>
    </row>
    <row r="184" spans="2:12" x14ac:dyDescent="0.25">
      <c r="B184" s="68" t="s">
        <v>22</v>
      </c>
      <c r="C184" s="43">
        <v>45759</v>
      </c>
      <c r="D184" s="35"/>
      <c r="E184" s="35">
        <v>400</v>
      </c>
      <c r="F184" s="67" t="s">
        <v>172</v>
      </c>
      <c r="G184" s="41" t="s">
        <v>80</v>
      </c>
      <c r="H184" s="41" t="s">
        <v>135</v>
      </c>
      <c r="I184" s="69"/>
      <c r="J184" s="41" t="s">
        <v>48</v>
      </c>
      <c r="K184" s="40"/>
      <c r="L184" s="28">
        <f t="shared" ca="1" si="6"/>
        <v>720</v>
      </c>
    </row>
    <row r="185" spans="2:12" x14ac:dyDescent="0.25">
      <c r="B185" s="68" t="s">
        <v>22</v>
      </c>
      <c r="C185" s="43">
        <v>45759</v>
      </c>
      <c r="D185" s="35"/>
      <c r="E185" s="35">
        <v>2050</v>
      </c>
      <c r="F185" s="67" t="s">
        <v>98</v>
      </c>
      <c r="G185" s="41" t="s">
        <v>80</v>
      </c>
      <c r="H185" s="41" t="s">
        <v>108</v>
      </c>
      <c r="I185" s="69"/>
      <c r="J185" s="41" t="s">
        <v>65</v>
      </c>
      <c r="K185" s="40"/>
      <c r="L185" s="28">
        <f t="shared" ca="1" si="6"/>
        <v>-1330</v>
      </c>
    </row>
    <row r="186" spans="2:12" x14ac:dyDescent="0.25">
      <c r="B186" s="68" t="s">
        <v>22</v>
      </c>
      <c r="C186" s="43">
        <v>45759</v>
      </c>
      <c r="D186" s="35"/>
      <c r="E186" s="35">
        <v>400</v>
      </c>
      <c r="F186" s="67" t="s">
        <v>98</v>
      </c>
      <c r="G186" s="41" t="s">
        <v>80</v>
      </c>
      <c r="H186" s="41" t="s">
        <v>135</v>
      </c>
      <c r="I186" s="69"/>
      <c r="J186" s="41" t="s">
        <v>48</v>
      </c>
      <c r="K186" s="40"/>
      <c r="L186" s="28">
        <f t="shared" ca="1" si="6"/>
        <v>-1730</v>
      </c>
    </row>
    <row r="187" spans="2:12" x14ac:dyDescent="0.25">
      <c r="B187" s="68" t="s">
        <v>22</v>
      </c>
      <c r="C187" s="43">
        <v>45759</v>
      </c>
      <c r="D187" s="35"/>
      <c r="E187" s="35">
        <v>400</v>
      </c>
      <c r="F187" s="67" t="s">
        <v>173</v>
      </c>
      <c r="G187" s="41" t="s">
        <v>80</v>
      </c>
      <c r="H187" s="41" t="s">
        <v>135</v>
      </c>
      <c r="I187" s="69"/>
      <c r="J187" s="41" t="s">
        <v>48</v>
      </c>
      <c r="K187" s="40"/>
      <c r="L187" s="28">
        <f t="shared" ca="1" si="6"/>
        <v>-2130</v>
      </c>
    </row>
    <row r="188" spans="2:12" x14ac:dyDescent="0.25">
      <c r="B188" s="68" t="s">
        <v>22</v>
      </c>
      <c r="C188" s="43">
        <v>45759</v>
      </c>
      <c r="D188" s="35"/>
      <c r="E188" s="35">
        <v>800</v>
      </c>
      <c r="F188" s="67" t="s">
        <v>79</v>
      </c>
      <c r="G188" s="41" t="s">
        <v>80</v>
      </c>
      <c r="H188" s="41" t="s">
        <v>108</v>
      </c>
      <c r="I188" s="69"/>
      <c r="J188" s="41" t="s">
        <v>65</v>
      </c>
      <c r="K188" s="41"/>
      <c r="L188" s="28">
        <f t="shared" ca="1" si="6"/>
        <v>-2930</v>
      </c>
    </row>
    <row r="189" spans="2:12" x14ac:dyDescent="0.25">
      <c r="B189" s="68" t="s">
        <v>22</v>
      </c>
      <c r="C189" s="43">
        <v>45759</v>
      </c>
      <c r="D189" s="35"/>
      <c r="E189" s="35">
        <v>400</v>
      </c>
      <c r="F189" s="67" t="s">
        <v>79</v>
      </c>
      <c r="G189" s="41" t="s">
        <v>80</v>
      </c>
      <c r="H189" s="41" t="s">
        <v>135</v>
      </c>
      <c r="I189" s="69"/>
      <c r="J189" s="41" t="s">
        <v>48</v>
      </c>
      <c r="K189" s="40"/>
      <c r="L189" s="28">
        <f t="shared" ca="1" si="6"/>
        <v>-3330</v>
      </c>
    </row>
    <row r="190" spans="2:12" x14ac:dyDescent="0.25">
      <c r="B190" s="68" t="s">
        <v>22</v>
      </c>
      <c r="C190" s="43">
        <v>45762</v>
      </c>
      <c r="D190" s="35">
        <v>1200</v>
      </c>
      <c r="F190" s="67" t="s">
        <v>279</v>
      </c>
      <c r="G190" s="41" t="s">
        <v>80</v>
      </c>
      <c r="H190" s="41" t="s">
        <v>280</v>
      </c>
      <c r="I190" s="69" t="s">
        <v>281</v>
      </c>
      <c r="J190" s="41" t="s">
        <v>99</v>
      </c>
      <c r="K190" s="40"/>
      <c r="L190" s="28">
        <f t="shared" ca="1" si="6"/>
        <v>-2130</v>
      </c>
    </row>
    <row r="191" spans="2:12" x14ac:dyDescent="0.25">
      <c r="B191" s="68" t="s">
        <v>22</v>
      </c>
      <c r="C191" s="43">
        <v>45762</v>
      </c>
      <c r="D191" s="35">
        <v>150</v>
      </c>
      <c r="F191" s="67" t="s">
        <v>279</v>
      </c>
      <c r="G191" s="41" t="s">
        <v>80</v>
      </c>
      <c r="H191" s="41" t="s">
        <v>78</v>
      </c>
      <c r="I191" s="69" t="s">
        <v>285</v>
      </c>
      <c r="J191" s="41" t="s">
        <v>13</v>
      </c>
      <c r="K191" s="40"/>
      <c r="L191" s="28">
        <f t="shared" ca="1" si="6"/>
        <v>-1980</v>
      </c>
    </row>
    <row r="192" spans="2:12" x14ac:dyDescent="0.25">
      <c r="B192" s="68" t="s">
        <v>22</v>
      </c>
      <c r="C192" s="43">
        <v>45763</v>
      </c>
      <c r="D192" s="35">
        <v>360</v>
      </c>
      <c r="F192" s="67" t="s">
        <v>282</v>
      </c>
      <c r="G192" s="41" t="s">
        <v>80</v>
      </c>
      <c r="H192" s="41" t="s">
        <v>283</v>
      </c>
      <c r="I192" s="69" t="s">
        <v>284</v>
      </c>
      <c r="J192" s="41" t="s">
        <v>99</v>
      </c>
      <c r="K192" s="40"/>
      <c r="L192" s="28">
        <f t="shared" ca="1" si="6"/>
        <v>-1620</v>
      </c>
    </row>
    <row r="193" spans="2:12" x14ac:dyDescent="0.25">
      <c r="B193" s="68" t="s">
        <v>23</v>
      </c>
      <c r="C193" s="44">
        <v>45766</v>
      </c>
      <c r="D193" s="35"/>
      <c r="E193" s="35">
        <v>90</v>
      </c>
      <c r="F193" s="68" t="s">
        <v>247</v>
      </c>
      <c r="G193" s="41" t="s">
        <v>80</v>
      </c>
      <c r="H193" s="41" t="s">
        <v>78</v>
      </c>
      <c r="I193" s="69" t="s">
        <v>272</v>
      </c>
      <c r="J193" s="41" t="s">
        <v>36</v>
      </c>
      <c r="K193" s="40"/>
      <c r="L193" s="28">
        <f t="shared" ca="1" si="6"/>
        <v>-1710</v>
      </c>
    </row>
    <row r="194" spans="2:12" x14ac:dyDescent="0.25">
      <c r="B194" s="68" t="s">
        <v>23</v>
      </c>
      <c r="C194" s="39">
        <v>45769</v>
      </c>
      <c r="D194" s="35">
        <v>4800</v>
      </c>
      <c r="F194" s="67" t="s">
        <v>298</v>
      </c>
      <c r="G194" s="41" t="s">
        <v>80</v>
      </c>
      <c r="H194" s="41" t="s">
        <v>299</v>
      </c>
      <c r="I194" s="69" t="s">
        <v>277</v>
      </c>
      <c r="J194" s="41" t="s">
        <v>99</v>
      </c>
      <c r="K194" s="40"/>
      <c r="L194" s="28">
        <f ca="1">IF(ISERROR(OFFSET(L194,-1,0,1,1)+D194-E194),D194-E194,OFFSET(L194,-1,0,1,1)+D194-E194)</f>
        <v>3090</v>
      </c>
    </row>
    <row r="195" spans="2:12" x14ac:dyDescent="0.25">
      <c r="B195" s="68" t="s">
        <v>22</v>
      </c>
      <c r="C195" s="39">
        <v>45769</v>
      </c>
      <c r="D195" s="35">
        <v>3000</v>
      </c>
      <c r="F195" s="67" t="s">
        <v>232</v>
      </c>
      <c r="G195" s="41" t="s">
        <v>80</v>
      </c>
      <c r="H195" s="41" t="s">
        <v>300</v>
      </c>
      <c r="I195" s="69" t="s">
        <v>301</v>
      </c>
      <c r="J195" s="41" t="s">
        <v>99</v>
      </c>
      <c r="K195" s="40"/>
      <c r="L195" s="28">
        <f ca="1">IF(ISERROR(OFFSET(L195,-1,0,1,1)+D195-E195),D195-E195,OFFSET(L195,-1,0,1,1)+D195-E195)</f>
        <v>6090</v>
      </c>
    </row>
    <row r="196" spans="2:12" x14ac:dyDescent="0.25">
      <c r="B196" s="68" t="s">
        <v>23</v>
      </c>
      <c r="C196" s="39">
        <v>45770</v>
      </c>
      <c r="D196" s="35">
        <v>10000</v>
      </c>
      <c r="F196" s="67" t="s">
        <v>302</v>
      </c>
      <c r="G196" s="41" t="s">
        <v>80</v>
      </c>
      <c r="H196" s="41" t="s">
        <v>303</v>
      </c>
      <c r="I196" s="69" t="s">
        <v>304</v>
      </c>
      <c r="J196" s="41" t="s">
        <v>99</v>
      </c>
      <c r="K196" s="40"/>
      <c r="L196" s="28">
        <f ca="1">IF(ISERROR(OFFSET(L196,-1,0,1,1)+D196-E196),D196-E196,OFFSET(L196,-1,0,1,1)+D196-E196)</f>
        <v>16090</v>
      </c>
    </row>
    <row r="197" spans="2:12" x14ac:dyDescent="0.25">
      <c r="B197" s="68" t="s">
        <v>23</v>
      </c>
      <c r="C197" s="39">
        <v>45773</v>
      </c>
      <c r="D197" s="35">
        <v>1800</v>
      </c>
      <c r="F197" s="67" t="s">
        <v>169</v>
      </c>
      <c r="G197" s="41" t="s">
        <v>80</v>
      </c>
      <c r="H197" s="41" t="s">
        <v>305</v>
      </c>
      <c r="I197" s="69" t="s">
        <v>306</v>
      </c>
      <c r="J197" s="41" t="s">
        <v>99</v>
      </c>
      <c r="K197" s="40"/>
      <c r="L197" s="28">
        <f ca="1">IF(ISERROR(OFFSET(L197,-1,0,1,1)+D197-E197),D197-E197,OFFSET(L197,-1,0,1,1)+D197-E197)</f>
        <v>17890</v>
      </c>
    </row>
    <row r="198" spans="2:12" x14ac:dyDescent="0.25">
      <c r="B198" s="68" t="s">
        <v>23</v>
      </c>
      <c r="C198" s="39">
        <v>45773</v>
      </c>
      <c r="D198" s="35"/>
      <c r="E198" s="35">
        <v>4500</v>
      </c>
      <c r="F198" s="67" t="s">
        <v>171</v>
      </c>
      <c r="G198" s="41" t="s">
        <v>80</v>
      </c>
      <c r="H198" s="41" t="s">
        <v>108</v>
      </c>
      <c r="I198" s="42"/>
      <c r="J198" s="41" t="s">
        <v>65</v>
      </c>
      <c r="K198" s="40"/>
      <c r="L198" s="28">
        <f t="shared" ref="L198:L199" ca="1" si="7">IF(ISERROR(OFFSET(L198,-1,0,1,1)+D198-E198),D198-E198,OFFSET(L198,-1,0,1,1)+D198-E198)</f>
        <v>13390</v>
      </c>
    </row>
    <row r="199" spans="2:12" x14ac:dyDescent="0.25">
      <c r="B199" s="68" t="s">
        <v>23</v>
      </c>
      <c r="C199" s="39">
        <v>45773</v>
      </c>
      <c r="D199" s="35"/>
      <c r="E199" s="35">
        <v>3500</v>
      </c>
      <c r="F199" s="67" t="s">
        <v>172</v>
      </c>
      <c r="G199" s="41" t="s">
        <v>80</v>
      </c>
      <c r="H199" s="41" t="s">
        <v>108</v>
      </c>
      <c r="I199" s="42"/>
      <c r="J199" s="41" t="s">
        <v>65</v>
      </c>
      <c r="K199" s="40"/>
      <c r="L199" s="28">
        <f t="shared" ca="1" si="7"/>
        <v>9890</v>
      </c>
    </row>
    <row r="200" spans="2:12" x14ac:dyDescent="0.25">
      <c r="B200" s="68" t="s">
        <v>23</v>
      </c>
      <c r="C200" s="39">
        <v>45773</v>
      </c>
      <c r="D200" s="35"/>
      <c r="E200" s="35">
        <v>400</v>
      </c>
      <c r="F200" s="67" t="s">
        <v>172</v>
      </c>
      <c r="G200" s="41" t="s">
        <v>80</v>
      </c>
      <c r="H200" s="41" t="s">
        <v>135</v>
      </c>
      <c r="I200" s="42"/>
      <c r="J200" s="41" t="s">
        <v>48</v>
      </c>
      <c r="K200" s="40"/>
      <c r="L200" s="28">
        <f t="shared" ref="L200:L202" ca="1" si="8">IF(ISERROR(OFFSET(L200,-1,0,1,1)+D200-E200),D200-E200,OFFSET(L200,-1,0,1,1)+D200-E200)</f>
        <v>9490</v>
      </c>
    </row>
    <row r="201" spans="2:12" x14ac:dyDescent="0.25">
      <c r="B201" s="68" t="s">
        <v>23</v>
      </c>
      <c r="C201" s="39">
        <v>45773</v>
      </c>
      <c r="D201" s="35"/>
      <c r="E201" s="35">
        <v>2050</v>
      </c>
      <c r="F201" s="67" t="s">
        <v>98</v>
      </c>
      <c r="G201" s="41" t="s">
        <v>80</v>
      </c>
      <c r="H201" s="41" t="s">
        <v>108</v>
      </c>
      <c r="I201" s="42"/>
      <c r="J201" s="41" t="s">
        <v>65</v>
      </c>
      <c r="K201" s="40"/>
      <c r="L201" s="28">
        <f t="shared" ca="1" si="8"/>
        <v>7440</v>
      </c>
    </row>
    <row r="202" spans="2:12" x14ac:dyDescent="0.25">
      <c r="B202" s="68" t="s">
        <v>23</v>
      </c>
      <c r="C202" s="39">
        <v>45773</v>
      </c>
      <c r="D202" s="35"/>
      <c r="E202" s="35">
        <v>400</v>
      </c>
      <c r="F202" s="67" t="s">
        <v>98</v>
      </c>
      <c r="G202" s="41" t="s">
        <v>80</v>
      </c>
      <c r="H202" s="41" t="s">
        <v>135</v>
      </c>
      <c r="I202" s="42"/>
      <c r="J202" s="41" t="s">
        <v>48</v>
      </c>
      <c r="K202" s="40"/>
      <c r="L202" s="28">
        <f t="shared" ca="1" si="8"/>
        <v>7040</v>
      </c>
    </row>
    <row r="203" spans="2:12" x14ac:dyDescent="0.25">
      <c r="B203" s="68" t="s">
        <v>23</v>
      </c>
      <c r="C203" s="39">
        <v>45773</v>
      </c>
      <c r="D203" s="35"/>
      <c r="E203" s="35">
        <v>1200</v>
      </c>
      <c r="F203" s="67" t="s">
        <v>173</v>
      </c>
      <c r="G203" s="41" t="s">
        <v>80</v>
      </c>
      <c r="H203" s="41" t="s">
        <v>108</v>
      </c>
      <c r="I203" s="42"/>
      <c r="J203" s="41" t="s">
        <v>65</v>
      </c>
      <c r="K203" s="40"/>
      <c r="L203" s="28">
        <f ca="1">IF(ISERROR(OFFSET(L203,-1,0,1,1)+D203-E203),D203-E203,OFFSET(L203,-1,0,1,1)+D203-E203)</f>
        <v>5840</v>
      </c>
    </row>
    <row r="204" spans="2:12" x14ac:dyDescent="0.25">
      <c r="B204" s="68" t="s">
        <v>23</v>
      </c>
      <c r="C204" s="39">
        <v>45773</v>
      </c>
      <c r="D204" s="35"/>
      <c r="E204" s="35">
        <v>400</v>
      </c>
      <c r="F204" s="67" t="s">
        <v>173</v>
      </c>
      <c r="G204" s="41" t="s">
        <v>80</v>
      </c>
      <c r="H204" s="41" t="s">
        <v>135</v>
      </c>
      <c r="I204" s="42"/>
      <c r="J204" s="41" t="s">
        <v>48</v>
      </c>
      <c r="K204" s="40"/>
      <c r="L204" s="28">
        <f ca="1">IF(ISERROR(OFFSET(L204,-1,0,1,1)+D204-E204),D204-E204,OFFSET(L204,-1,0,1,1)+D204-E204)</f>
        <v>5440</v>
      </c>
    </row>
    <row r="205" spans="2:12" x14ac:dyDescent="0.25">
      <c r="B205" s="68" t="s">
        <v>23</v>
      </c>
      <c r="C205" s="39">
        <v>45773</v>
      </c>
      <c r="D205" s="35"/>
      <c r="E205" s="35">
        <v>800</v>
      </c>
      <c r="F205" s="67" t="s">
        <v>79</v>
      </c>
      <c r="G205" s="41" t="s">
        <v>80</v>
      </c>
      <c r="H205" s="41" t="s">
        <v>108</v>
      </c>
      <c r="I205" s="42"/>
      <c r="J205" s="41" t="s">
        <v>65</v>
      </c>
      <c r="K205" s="40"/>
      <c r="L205" s="28">
        <f ca="1">IF(ISERROR(OFFSET(L205,-1,0,1,1)+D205-E205),D205-E205,OFFSET(L205,-1,0,1,1)+D205-E205)</f>
        <v>4640</v>
      </c>
    </row>
    <row r="206" spans="2:12" x14ac:dyDescent="0.25">
      <c r="B206" s="68" t="s">
        <v>23</v>
      </c>
      <c r="C206" s="39">
        <v>45773</v>
      </c>
      <c r="D206" s="35"/>
      <c r="E206" s="35">
        <v>400</v>
      </c>
      <c r="F206" s="67" t="s">
        <v>79</v>
      </c>
      <c r="G206" s="41" t="s">
        <v>80</v>
      </c>
      <c r="H206" s="41" t="s">
        <v>135</v>
      </c>
      <c r="I206" s="42"/>
      <c r="J206" s="41" t="s">
        <v>48</v>
      </c>
      <c r="K206" s="40"/>
      <c r="L206" s="28">
        <f ca="1">IF(ISERROR(OFFSET(L206,-1,0,1,1)+D206-E206),D206-E206,OFFSET(L206,-1,0,1,1)+D206-E206)</f>
        <v>4240</v>
      </c>
    </row>
    <row r="207" spans="2:12" x14ac:dyDescent="0.25">
      <c r="B207" s="68" t="s">
        <v>23</v>
      </c>
      <c r="C207" s="44">
        <v>45774</v>
      </c>
      <c r="D207" s="35"/>
      <c r="E207" s="35">
        <v>2755</v>
      </c>
      <c r="F207" s="67" t="s">
        <v>195</v>
      </c>
      <c r="G207" s="41" t="s">
        <v>80</v>
      </c>
      <c r="H207" s="41" t="s">
        <v>78</v>
      </c>
      <c r="I207" s="69" t="s">
        <v>190</v>
      </c>
      <c r="J207" s="41" t="s">
        <v>103</v>
      </c>
      <c r="K207" s="40"/>
      <c r="L207" s="28">
        <f t="shared" ca="1" si="6"/>
        <v>1485</v>
      </c>
    </row>
    <row r="208" spans="2:12" x14ac:dyDescent="0.25">
      <c r="B208" s="68" t="s">
        <v>23</v>
      </c>
      <c r="C208" s="44">
        <v>45775</v>
      </c>
      <c r="D208" s="35">
        <v>130</v>
      </c>
      <c r="F208" s="68" t="s">
        <v>288</v>
      </c>
      <c r="G208" s="41" t="s">
        <v>80</v>
      </c>
      <c r="H208" s="41" t="s">
        <v>289</v>
      </c>
      <c r="I208" s="42" t="s">
        <v>219</v>
      </c>
      <c r="J208" s="41" t="s">
        <v>100</v>
      </c>
      <c r="K208" s="40"/>
      <c r="L208" s="28">
        <f t="shared" ca="1" si="6"/>
        <v>1615</v>
      </c>
    </row>
    <row r="209" spans="2:12" x14ac:dyDescent="0.25">
      <c r="B209" s="38"/>
      <c r="C209" s="44"/>
      <c r="D209" s="35"/>
      <c r="F209" s="38"/>
      <c r="G209" s="41"/>
      <c r="H209" s="41"/>
      <c r="I209" s="42"/>
      <c r="J209" s="41"/>
      <c r="K209" s="40"/>
      <c r="L209" s="28">
        <f t="shared" ca="1" si="6"/>
        <v>1615</v>
      </c>
    </row>
    <row r="210" spans="2:12" x14ac:dyDescent="0.25">
      <c r="B210" s="38"/>
      <c r="C210" s="44"/>
      <c r="D210" s="35"/>
      <c r="F210" s="40"/>
      <c r="G210" s="41"/>
      <c r="H210" s="41"/>
      <c r="I210" s="42"/>
      <c r="J210" s="41"/>
      <c r="K210" s="40"/>
      <c r="L210" s="28">
        <f t="shared" ca="1" si="6"/>
        <v>1615</v>
      </c>
    </row>
    <row r="211" spans="2:12" x14ac:dyDescent="0.25">
      <c r="B211" s="38"/>
      <c r="C211" s="44"/>
      <c r="D211" s="35"/>
      <c r="F211" s="40"/>
      <c r="G211" s="41"/>
      <c r="H211" s="41"/>
      <c r="I211" s="42"/>
      <c r="J211" s="41"/>
      <c r="K211" s="40"/>
      <c r="L211" s="28">
        <f t="shared" ca="1" si="6"/>
        <v>1615</v>
      </c>
    </row>
    <row r="212" spans="2:12" x14ac:dyDescent="0.25">
      <c r="B212" s="38"/>
      <c r="C212" s="44"/>
      <c r="D212" s="35"/>
      <c r="F212" s="40"/>
      <c r="G212" s="41"/>
      <c r="H212" s="41"/>
      <c r="I212" s="42"/>
      <c r="J212" s="41"/>
      <c r="K212" s="40"/>
      <c r="L212" s="28">
        <f t="shared" ca="1" si="6"/>
        <v>1615</v>
      </c>
    </row>
    <row r="213" spans="2:12" x14ac:dyDescent="0.25">
      <c r="B213" s="38"/>
      <c r="C213" s="44"/>
      <c r="D213" s="57"/>
      <c r="F213" s="40"/>
      <c r="G213" s="41"/>
      <c r="H213" s="41"/>
      <c r="I213" s="42"/>
      <c r="J213" s="41"/>
      <c r="K213" s="40"/>
      <c r="L213" s="28">
        <f t="shared" ref="L213:L225" ca="1" si="9">IF(ISERROR(OFFSET(L213,-1,0,1,1)+D213-E213),D213-E213,OFFSET(L213,-1,0,1,1)+D213-E213)</f>
        <v>1615</v>
      </c>
    </row>
    <row r="214" spans="2:12" x14ac:dyDescent="0.25">
      <c r="B214" s="38"/>
      <c r="C214" s="44"/>
      <c r="D214" s="57"/>
      <c r="F214" s="38"/>
      <c r="G214" s="41"/>
      <c r="H214" s="41"/>
      <c r="I214" s="42"/>
      <c r="J214" s="41"/>
      <c r="K214" s="40"/>
      <c r="L214" s="28">
        <f t="shared" ca="1" si="9"/>
        <v>1615</v>
      </c>
    </row>
    <row r="215" spans="2:12" x14ac:dyDescent="0.25">
      <c r="B215" s="38"/>
      <c r="C215" s="44"/>
      <c r="D215" s="57"/>
      <c r="F215" s="38"/>
      <c r="G215" s="41"/>
      <c r="H215" s="41"/>
      <c r="I215" s="42"/>
      <c r="J215" s="41"/>
      <c r="K215" s="40"/>
      <c r="L215" s="28">
        <f t="shared" ca="1" si="9"/>
        <v>1615</v>
      </c>
    </row>
    <row r="216" spans="2:12" x14ac:dyDescent="0.25">
      <c r="B216" s="38"/>
      <c r="C216" s="44"/>
      <c r="D216" s="57"/>
      <c r="F216" s="38"/>
      <c r="G216" s="41"/>
      <c r="H216" s="41"/>
      <c r="I216" s="42"/>
      <c r="J216" s="41"/>
      <c r="K216" s="40"/>
      <c r="L216" s="28">
        <f t="shared" ca="1" si="9"/>
        <v>1615</v>
      </c>
    </row>
    <row r="217" spans="2:12" x14ac:dyDescent="0.25">
      <c r="B217" s="38"/>
      <c r="C217" s="44"/>
      <c r="D217" s="57"/>
      <c r="F217" s="40"/>
      <c r="G217" s="41"/>
      <c r="H217" s="41"/>
      <c r="I217" s="42"/>
      <c r="J217" s="41"/>
      <c r="K217" s="40"/>
      <c r="L217" s="28">
        <f t="shared" ca="1" si="9"/>
        <v>1615</v>
      </c>
    </row>
    <row r="218" spans="2:12" x14ac:dyDescent="0.25">
      <c r="B218" s="38"/>
      <c r="C218" s="44"/>
      <c r="D218" s="57"/>
      <c r="F218" s="40"/>
      <c r="G218" s="41"/>
      <c r="H218" s="41"/>
      <c r="I218" s="42"/>
      <c r="J218" s="41"/>
      <c r="K218" s="40"/>
      <c r="L218" s="28">
        <f t="shared" ca="1" si="9"/>
        <v>1615</v>
      </c>
    </row>
    <row r="219" spans="2:12" x14ac:dyDescent="0.25">
      <c r="B219" s="38"/>
      <c r="C219" s="44"/>
      <c r="D219" s="57"/>
      <c r="F219" s="40"/>
      <c r="G219" s="41"/>
      <c r="H219" s="41"/>
      <c r="I219" s="42"/>
      <c r="J219" s="41"/>
      <c r="K219" s="40"/>
      <c r="L219" s="28">
        <f t="shared" ca="1" si="9"/>
        <v>1615</v>
      </c>
    </row>
    <row r="220" spans="2:12" x14ac:dyDescent="0.25">
      <c r="B220" s="38"/>
      <c r="C220" s="44"/>
      <c r="D220" s="57"/>
      <c r="F220" s="38"/>
      <c r="G220" s="41"/>
      <c r="H220" s="41"/>
      <c r="I220" s="42"/>
      <c r="J220" s="41"/>
      <c r="K220" s="40"/>
      <c r="L220" s="28">
        <f t="shared" ca="1" si="9"/>
        <v>1615</v>
      </c>
    </row>
    <row r="221" spans="2:12" x14ac:dyDescent="0.25">
      <c r="B221" s="38"/>
      <c r="C221" s="44"/>
      <c r="D221" s="57"/>
      <c r="F221" s="38"/>
      <c r="G221" s="41"/>
      <c r="H221" s="41"/>
      <c r="I221" s="42"/>
      <c r="J221" s="41"/>
      <c r="K221" s="40"/>
      <c r="L221" s="28">
        <f t="shared" ca="1" si="9"/>
        <v>1615</v>
      </c>
    </row>
    <row r="222" spans="2:12" x14ac:dyDescent="0.25">
      <c r="B222" s="38"/>
      <c r="C222" s="44"/>
      <c r="D222" s="57"/>
      <c r="F222" s="38"/>
      <c r="G222" s="41"/>
      <c r="H222" s="41"/>
      <c r="I222" s="42"/>
      <c r="J222" s="41"/>
      <c r="K222" s="40"/>
      <c r="L222" s="28">
        <f t="shared" ca="1" si="9"/>
        <v>1615</v>
      </c>
    </row>
    <row r="223" spans="2:12" x14ac:dyDescent="0.25">
      <c r="B223" s="38"/>
      <c r="C223" s="44"/>
      <c r="D223" s="57"/>
      <c r="F223" s="38"/>
      <c r="G223" s="41"/>
      <c r="H223" s="41"/>
      <c r="I223" s="42"/>
      <c r="J223" s="41"/>
      <c r="K223" s="40"/>
      <c r="L223" s="28">
        <f t="shared" ca="1" si="9"/>
        <v>1615</v>
      </c>
    </row>
    <row r="224" spans="2:12" x14ac:dyDescent="0.25">
      <c r="B224" s="38"/>
      <c r="C224" s="44"/>
      <c r="D224" s="57"/>
      <c r="F224" s="38"/>
      <c r="G224" s="41"/>
      <c r="H224" s="41"/>
      <c r="I224" s="42"/>
      <c r="J224" s="41"/>
      <c r="K224" s="40"/>
      <c r="L224" s="28">
        <f t="shared" ca="1" si="9"/>
        <v>1615</v>
      </c>
    </row>
    <row r="225" spans="2:12" x14ac:dyDescent="0.25">
      <c r="B225" s="38"/>
      <c r="C225" s="45"/>
      <c r="D225" s="35"/>
      <c r="F225" s="38"/>
      <c r="G225" s="41"/>
      <c r="H225" s="41"/>
      <c r="I225" s="42"/>
      <c r="J225" s="41"/>
      <c r="K225" s="40"/>
      <c r="L225" s="28">
        <f t="shared" ca="1" si="9"/>
        <v>1615</v>
      </c>
    </row>
    <row r="226" spans="2:12" x14ac:dyDescent="0.25">
      <c r="B226" s="47"/>
      <c r="C226" s="48"/>
      <c r="D226" s="52">
        <f>SUBTOTAL(109,Abril_2024[INGRESO])</f>
        <v>32360</v>
      </c>
      <c r="E226" s="52">
        <f>SUBTOTAL(109,Abril_2024[EGRESO])</f>
        <v>30745</v>
      </c>
      <c r="F226" s="49"/>
      <c r="G226" s="50"/>
      <c r="H226" s="50"/>
      <c r="I226" s="51"/>
      <c r="J226" s="50"/>
      <c r="K226" s="49"/>
      <c r="L226" s="53"/>
    </row>
    <row r="227" spans="2:12" x14ac:dyDescent="0.25">
      <c r="D227" s="35"/>
    </row>
    <row r="228" spans="2:12" x14ac:dyDescent="0.25">
      <c r="B228" s="76" t="s">
        <v>124</v>
      </c>
      <c r="C228" s="77"/>
      <c r="D228" s="77"/>
      <c r="E228" s="77"/>
      <c r="F228" s="77"/>
      <c r="G228" s="77"/>
      <c r="H228" s="77"/>
      <c r="I228" s="77"/>
      <c r="J228" s="77"/>
      <c r="K228" s="77"/>
      <c r="L228" s="77"/>
    </row>
    <row r="229" spans="2:12" x14ac:dyDescent="0.25">
      <c r="B229" s="36" t="s">
        <v>16</v>
      </c>
      <c r="C229" s="37" t="s">
        <v>17</v>
      </c>
      <c r="D229" s="46" t="s">
        <v>73</v>
      </c>
      <c r="E229" s="46" t="s">
        <v>74</v>
      </c>
      <c r="F229" s="37" t="s">
        <v>54</v>
      </c>
      <c r="G229" s="37" t="s">
        <v>76</v>
      </c>
      <c r="H229" s="37" t="s">
        <v>77</v>
      </c>
      <c r="I229" s="37" t="s">
        <v>75</v>
      </c>
      <c r="J229" s="37" t="s">
        <v>18</v>
      </c>
      <c r="K229" s="37" t="s">
        <v>64</v>
      </c>
      <c r="L229" s="37" t="s">
        <v>19</v>
      </c>
    </row>
    <row r="230" spans="2:12" x14ac:dyDescent="0.25">
      <c r="B230" s="68" t="s">
        <v>22</v>
      </c>
      <c r="C230" s="44">
        <v>45778</v>
      </c>
      <c r="D230" s="35">
        <v>1440</v>
      </c>
      <c r="F230" s="61" t="s">
        <v>290</v>
      </c>
      <c r="G230" s="41" t="s">
        <v>80</v>
      </c>
      <c r="H230" s="41" t="s">
        <v>292</v>
      </c>
      <c r="I230" s="69" t="s">
        <v>295</v>
      </c>
      <c r="J230" s="41" t="s">
        <v>99</v>
      </c>
      <c r="K230" s="40"/>
      <c r="L230" s="28">
        <f t="shared" ref="L230:L258" ca="1" si="10">IF(ISERROR(OFFSET(L230,-1,0,1,1)+D230-E230),D230-E230,OFFSET(L230,-1,0,1,1)+D230-E230)</f>
        <v>1440</v>
      </c>
    </row>
    <row r="231" spans="2:12" x14ac:dyDescent="0.25">
      <c r="B231" s="68" t="s">
        <v>23</v>
      </c>
      <c r="C231" s="44">
        <v>45778</v>
      </c>
      <c r="D231" s="35">
        <v>1800</v>
      </c>
      <c r="F231" s="64" t="s">
        <v>291</v>
      </c>
      <c r="G231" s="41" t="s">
        <v>80</v>
      </c>
      <c r="H231" s="41" t="s">
        <v>293</v>
      </c>
      <c r="I231" s="69" t="s">
        <v>296</v>
      </c>
      <c r="J231" s="41" t="s">
        <v>99</v>
      </c>
      <c r="K231" s="40"/>
      <c r="L231" s="28">
        <f t="shared" ca="1" si="10"/>
        <v>3240</v>
      </c>
    </row>
    <row r="232" spans="2:12" x14ac:dyDescent="0.25">
      <c r="B232" s="68" t="s">
        <v>22</v>
      </c>
      <c r="C232" s="44">
        <v>45782</v>
      </c>
      <c r="D232" s="35">
        <v>7200</v>
      </c>
      <c r="F232" s="64" t="s">
        <v>252</v>
      </c>
      <c r="G232" s="41" t="s">
        <v>80</v>
      </c>
      <c r="H232" s="41" t="s">
        <v>294</v>
      </c>
      <c r="I232" s="69" t="s">
        <v>297</v>
      </c>
      <c r="J232" s="41" t="s">
        <v>99</v>
      </c>
      <c r="K232" s="40"/>
      <c r="L232" s="28">
        <f t="shared" ca="1" si="10"/>
        <v>10440</v>
      </c>
    </row>
    <row r="233" spans="2:12" x14ac:dyDescent="0.25">
      <c r="B233" s="68" t="s">
        <v>23</v>
      </c>
      <c r="C233" s="44">
        <v>45783</v>
      </c>
      <c r="D233" s="35">
        <v>660</v>
      </c>
      <c r="F233" s="40" t="s">
        <v>217</v>
      </c>
      <c r="G233" s="41" t="s">
        <v>80</v>
      </c>
      <c r="H233" s="41" t="s">
        <v>322</v>
      </c>
      <c r="I233" s="69" t="s">
        <v>324</v>
      </c>
      <c r="J233" s="41" t="s">
        <v>99</v>
      </c>
      <c r="K233" s="40"/>
      <c r="L233" s="28">
        <f ca="1">IF(ISERROR(OFFSET(L233,-1,0,1,1)+D233-E233),D233-E233,OFFSET(L233,-1,0,1,1)+D233-E233)</f>
        <v>11100</v>
      </c>
    </row>
    <row r="234" spans="2:12" x14ac:dyDescent="0.25">
      <c r="B234" s="68" t="s">
        <v>23</v>
      </c>
      <c r="C234" s="44">
        <v>45783</v>
      </c>
      <c r="D234" s="35">
        <v>1000</v>
      </c>
      <c r="F234" s="40" t="s">
        <v>321</v>
      </c>
      <c r="G234" s="41" t="s">
        <v>80</v>
      </c>
      <c r="H234" s="41" t="s">
        <v>323</v>
      </c>
      <c r="I234" s="69" t="s">
        <v>324</v>
      </c>
      <c r="J234" s="41" t="s">
        <v>99</v>
      </c>
      <c r="K234" s="40"/>
      <c r="L234" s="28">
        <f ca="1">IF(ISERROR(OFFSET(L234,-1,0,1,1)+D234-E234),D234-E234,OFFSET(L234,-1,0,1,1)+D234-E234)</f>
        <v>12100</v>
      </c>
    </row>
    <row r="235" spans="2:12" x14ac:dyDescent="0.25">
      <c r="B235" s="68" t="s">
        <v>23</v>
      </c>
      <c r="C235" s="44">
        <v>45784</v>
      </c>
      <c r="D235" s="35"/>
      <c r="E235" s="35">
        <v>50</v>
      </c>
      <c r="F235" s="64" t="s">
        <v>307</v>
      </c>
      <c r="G235" s="41" t="s">
        <v>80</v>
      </c>
      <c r="H235" s="41" t="s">
        <v>78</v>
      </c>
      <c r="I235" s="69" t="s">
        <v>308</v>
      </c>
      <c r="J235" s="41" t="s">
        <v>105</v>
      </c>
      <c r="K235" s="40"/>
      <c r="L235" s="28">
        <f t="shared" ca="1" si="10"/>
        <v>12050</v>
      </c>
    </row>
    <row r="236" spans="2:12" x14ac:dyDescent="0.25">
      <c r="B236" s="68" t="s">
        <v>22</v>
      </c>
      <c r="C236" s="44">
        <v>45785</v>
      </c>
      <c r="D236" s="57"/>
      <c r="E236" s="35">
        <v>1000</v>
      </c>
      <c r="F236" s="64" t="s">
        <v>316</v>
      </c>
      <c r="G236" s="41" t="s">
        <v>80</v>
      </c>
      <c r="H236" s="41" t="s">
        <v>317</v>
      </c>
      <c r="I236" s="69" t="s">
        <v>318</v>
      </c>
      <c r="J236" s="41" t="s">
        <v>99</v>
      </c>
      <c r="K236" s="40"/>
      <c r="L236" s="28">
        <f ca="1">IF(ISERROR(OFFSET(L236,-1,0,1,1)+D236-E236),D236-E236,OFFSET(L236,-1,0,1,1)+D236-E236)</f>
        <v>11050</v>
      </c>
    </row>
    <row r="237" spans="2:12" x14ac:dyDescent="0.25">
      <c r="B237" s="68" t="s">
        <v>22</v>
      </c>
      <c r="C237" s="39">
        <v>45787</v>
      </c>
      <c r="D237" s="35"/>
      <c r="E237" s="35">
        <v>4500</v>
      </c>
      <c r="F237" s="64" t="s">
        <v>171</v>
      </c>
      <c r="G237" s="41" t="s">
        <v>80</v>
      </c>
      <c r="H237" s="41" t="s">
        <v>108</v>
      </c>
      <c r="I237" s="69"/>
      <c r="J237" s="41" t="s">
        <v>65</v>
      </c>
      <c r="K237" s="40"/>
      <c r="L237" s="28">
        <f t="shared" ref="L237:L240" ca="1" si="11">IF(ISERROR(OFFSET(L237,-1,0,1,1)+D237-E237),D237-E237,OFFSET(L237,-1,0,1,1)+D237-E237)</f>
        <v>6550</v>
      </c>
    </row>
    <row r="238" spans="2:12" x14ac:dyDescent="0.25">
      <c r="B238" s="68" t="s">
        <v>22</v>
      </c>
      <c r="C238" s="39">
        <v>45787</v>
      </c>
      <c r="D238" s="35"/>
      <c r="E238" s="35">
        <v>3500</v>
      </c>
      <c r="F238" s="64" t="s">
        <v>172</v>
      </c>
      <c r="G238" s="41" t="s">
        <v>80</v>
      </c>
      <c r="H238" s="41" t="s">
        <v>108</v>
      </c>
      <c r="I238" s="69"/>
      <c r="J238" s="41" t="s">
        <v>65</v>
      </c>
      <c r="K238" s="40"/>
      <c r="L238" s="28">
        <f t="shared" ca="1" si="11"/>
        <v>3050</v>
      </c>
    </row>
    <row r="239" spans="2:12" x14ac:dyDescent="0.25">
      <c r="B239" s="68" t="s">
        <v>23</v>
      </c>
      <c r="C239" s="39">
        <v>45787</v>
      </c>
      <c r="D239" s="35"/>
      <c r="E239" s="35">
        <v>400</v>
      </c>
      <c r="F239" s="64" t="s">
        <v>172</v>
      </c>
      <c r="G239" s="41" t="s">
        <v>80</v>
      </c>
      <c r="H239" s="41" t="s">
        <v>135</v>
      </c>
      <c r="I239" s="69"/>
      <c r="J239" s="41" t="s">
        <v>48</v>
      </c>
      <c r="K239" s="40"/>
      <c r="L239" s="28">
        <f t="shared" ca="1" si="11"/>
        <v>2650</v>
      </c>
    </row>
    <row r="240" spans="2:12" x14ac:dyDescent="0.25">
      <c r="B240" s="68" t="s">
        <v>23</v>
      </c>
      <c r="C240" s="39">
        <v>45787</v>
      </c>
      <c r="D240" s="35"/>
      <c r="E240" s="35">
        <v>2050</v>
      </c>
      <c r="F240" s="67" t="s">
        <v>98</v>
      </c>
      <c r="G240" s="41" t="s">
        <v>80</v>
      </c>
      <c r="H240" s="41" t="s">
        <v>108</v>
      </c>
      <c r="I240" s="69"/>
      <c r="J240" s="41" t="s">
        <v>65</v>
      </c>
      <c r="K240" s="40"/>
      <c r="L240" s="28">
        <f t="shared" ca="1" si="11"/>
        <v>600</v>
      </c>
    </row>
    <row r="241" spans="2:12" x14ac:dyDescent="0.25">
      <c r="B241" s="68" t="s">
        <v>23</v>
      </c>
      <c r="C241" s="39">
        <v>45787</v>
      </c>
      <c r="D241" s="35"/>
      <c r="E241" s="35">
        <v>400</v>
      </c>
      <c r="F241" s="67" t="s">
        <v>98</v>
      </c>
      <c r="G241" s="41" t="s">
        <v>80</v>
      </c>
      <c r="H241" s="41" t="s">
        <v>135</v>
      </c>
      <c r="I241" s="69"/>
      <c r="J241" s="41" t="s">
        <v>48</v>
      </c>
      <c r="K241" s="40"/>
      <c r="L241" s="28">
        <f t="shared" ref="L241:L243" ca="1" si="12">IF(ISERROR(OFFSET(L241,-1,0,1,1)+D241-E241),D241-E241,OFFSET(L241,-1,0,1,1)+D241-E241)</f>
        <v>200</v>
      </c>
    </row>
    <row r="242" spans="2:12" x14ac:dyDescent="0.25">
      <c r="B242" s="68" t="s">
        <v>23</v>
      </c>
      <c r="C242" s="39">
        <v>45787</v>
      </c>
      <c r="D242" s="35"/>
      <c r="E242" s="35">
        <v>400</v>
      </c>
      <c r="F242" s="67" t="s">
        <v>173</v>
      </c>
      <c r="G242" s="41" t="s">
        <v>80</v>
      </c>
      <c r="H242" s="41" t="s">
        <v>135</v>
      </c>
      <c r="I242" s="69"/>
      <c r="J242" s="41" t="s">
        <v>48</v>
      </c>
      <c r="K242" s="40"/>
      <c r="L242" s="28">
        <f t="shared" ca="1" si="12"/>
        <v>-200</v>
      </c>
    </row>
    <row r="243" spans="2:12" x14ac:dyDescent="0.25">
      <c r="B243" s="68" t="s">
        <v>22</v>
      </c>
      <c r="C243" s="39">
        <v>45787</v>
      </c>
      <c r="D243" s="35"/>
      <c r="E243" s="35">
        <v>800</v>
      </c>
      <c r="F243" s="67" t="s">
        <v>79</v>
      </c>
      <c r="G243" s="41" t="s">
        <v>80</v>
      </c>
      <c r="H243" s="41" t="s">
        <v>108</v>
      </c>
      <c r="I243" s="69"/>
      <c r="J243" s="41" t="s">
        <v>65</v>
      </c>
      <c r="K243" s="40"/>
      <c r="L243" s="28">
        <f t="shared" ca="1" si="12"/>
        <v>-1000</v>
      </c>
    </row>
    <row r="244" spans="2:12" x14ac:dyDescent="0.25">
      <c r="B244" s="68" t="s">
        <v>22</v>
      </c>
      <c r="C244" s="39">
        <v>45787</v>
      </c>
      <c r="D244" s="35"/>
      <c r="E244" s="35">
        <v>400</v>
      </c>
      <c r="F244" s="67" t="s">
        <v>79</v>
      </c>
      <c r="G244" s="41" t="s">
        <v>80</v>
      </c>
      <c r="H244" s="41" t="s">
        <v>135</v>
      </c>
      <c r="I244" s="69"/>
      <c r="J244" s="41" t="s">
        <v>48</v>
      </c>
      <c r="K244" s="40"/>
      <c r="L244" s="28">
        <f t="shared" ref="L244" ca="1" si="13">IF(ISERROR(OFFSET(L244,-1,0,1,1)+D244-E244),D244-E244,OFFSET(L244,-1,0,1,1)+D244-E244)</f>
        <v>-1400</v>
      </c>
    </row>
    <row r="245" spans="2:12" x14ac:dyDescent="0.25">
      <c r="B245" s="68" t="s">
        <v>23</v>
      </c>
      <c r="C245" s="44">
        <v>45790</v>
      </c>
      <c r="D245" s="35"/>
      <c r="E245" s="35">
        <v>1406</v>
      </c>
      <c r="F245" s="68" t="s">
        <v>309</v>
      </c>
      <c r="G245" s="41" t="s">
        <v>80</v>
      </c>
      <c r="H245" s="41" t="s">
        <v>78</v>
      </c>
      <c r="I245" s="69" t="s">
        <v>312</v>
      </c>
      <c r="J245" s="41" t="s">
        <v>103</v>
      </c>
      <c r="K245" s="40"/>
      <c r="L245" s="28">
        <f t="shared" ca="1" si="10"/>
        <v>-2806</v>
      </c>
    </row>
    <row r="246" spans="2:12" x14ac:dyDescent="0.25">
      <c r="B246" s="68" t="s">
        <v>23</v>
      </c>
      <c r="C246" s="44">
        <v>45792</v>
      </c>
      <c r="D246" s="35"/>
      <c r="E246" s="35">
        <v>180</v>
      </c>
      <c r="F246" s="67" t="s">
        <v>262</v>
      </c>
      <c r="G246" s="41" t="s">
        <v>107</v>
      </c>
      <c r="H246" s="41" t="s">
        <v>78</v>
      </c>
      <c r="I246" s="69" t="s">
        <v>310</v>
      </c>
      <c r="J246" s="41" t="s">
        <v>109</v>
      </c>
      <c r="K246" s="41"/>
      <c r="L246" s="28">
        <f t="shared" ca="1" si="10"/>
        <v>-2986</v>
      </c>
    </row>
    <row r="247" spans="2:12" x14ac:dyDescent="0.25">
      <c r="B247" s="68" t="s">
        <v>23</v>
      </c>
      <c r="C247" s="44">
        <v>45794</v>
      </c>
      <c r="D247" s="35"/>
      <c r="E247" s="35">
        <v>110</v>
      </c>
      <c r="F247" s="68" t="s">
        <v>247</v>
      </c>
      <c r="G247" s="41" t="s">
        <v>80</v>
      </c>
      <c r="H247" s="41" t="s">
        <v>78</v>
      </c>
      <c r="I247" s="69" t="s">
        <v>311</v>
      </c>
      <c r="J247" s="41" t="s">
        <v>36</v>
      </c>
      <c r="K247" s="40"/>
      <c r="L247" s="28">
        <f t="shared" ca="1" si="10"/>
        <v>-3096</v>
      </c>
    </row>
    <row r="248" spans="2:12" x14ac:dyDescent="0.25">
      <c r="B248" s="68" t="s">
        <v>22</v>
      </c>
      <c r="C248" s="44">
        <v>45794</v>
      </c>
      <c r="D248" s="57"/>
      <c r="E248" s="35">
        <v>2000</v>
      </c>
      <c r="F248" s="67" t="s">
        <v>316</v>
      </c>
      <c r="G248" s="41" t="s">
        <v>80</v>
      </c>
      <c r="H248" s="41" t="s">
        <v>317</v>
      </c>
      <c r="I248" s="69" t="s">
        <v>318</v>
      </c>
      <c r="J248" s="41" t="s">
        <v>99</v>
      </c>
      <c r="K248" s="40"/>
      <c r="L248" s="28">
        <f ca="1">IF(ISERROR(OFFSET(L248,-1,0,1,1)+D248-E248),D248-E248,OFFSET(L248,-1,0,1,1)+D248-E248)</f>
        <v>-5096</v>
      </c>
    </row>
    <row r="249" spans="2:12" x14ac:dyDescent="0.25">
      <c r="B249" s="68" t="s">
        <v>23</v>
      </c>
      <c r="C249" s="44">
        <v>45797</v>
      </c>
      <c r="D249" s="35"/>
      <c r="E249" s="35">
        <v>3016</v>
      </c>
      <c r="F249" s="68" t="s">
        <v>309</v>
      </c>
      <c r="G249" s="41" t="s">
        <v>313</v>
      </c>
      <c r="H249" s="41" t="s">
        <v>78</v>
      </c>
      <c r="I249" s="69" t="s">
        <v>146</v>
      </c>
      <c r="J249" s="41" t="s">
        <v>103</v>
      </c>
      <c r="K249" s="40"/>
      <c r="L249" s="28">
        <f t="shared" ca="1" si="10"/>
        <v>-8112</v>
      </c>
    </row>
    <row r="250" spans="2:12" x14ac:dyDescent="0.25">
      <c r="B250" s="68" t="s">
        <v>23</v>
      </c>
      <c r="C250" s="44">
        <v>45797</v>
      </c>
      <c r="D250" s="35"/>
      <c r="E250" s="35">
        <v>174.14</v>
      </c>
      <c r="F250" s="67" t="s">
        <v>110</v>
      </c>
      <c r="G250" s="41" t="s">
        <v>314</v>
      </c>
      <c r="H250" s="41" t="s">
        <v>78</v>
      </c>
      <c r="I250" s="69" t="s">
        <v>315</v>
      </c>
      <c r="J250" s="41" t="s">
        <v>115</v>
      </c>
      <c r="K250" s="40"/>
      <c r="L250" s="28">
        <f t="shared" ca="1" si="10"/>
        <v>-8286.14</v>
      </c>
    </row>
    <row r="251" spans="2:12" x14ac:dyDescent="0.25">
      <c r="B251" s="68" t="s">
        <v>22</v>
      </c>
      <c r="C251" s="39">
        <v>45801</v>
      </c>
      <c r="D251" s="35"/>
      <c r="E251" s="35">
        <v>1700</v>
      </c>
      <c r="F251" s="67" t="s">
        <v>171</v>
      </c>
      <c r="G251" s="41" t="s">
        <v>80</v>
      </c>
      <c r="H251" s="41" t="s">
        <v>108</v>
      </c>
      <c r="I251" s="69"/>
      <c r="J251" s="41" t="s">
        <v>65</v>
      </c>
      <c r="K251" s="40"/>
      <c r="L251" s="28">
        <f t="shared" ref="L251:L256" ca="1" si="14">IF(ISERROR(OFFSET(L251,-1,0,1,1)+D251-E251),D251-E251,OFFSET(L251,-1,0,1,1)+D251-E251)</f>
        <v>-9986.14</v>
      </c>
    </row>
    <row r="252" spans="2:12" x14ac:dyDescent="0.25">
      <c r="B252" s="68" t="s">
        <v>22</v>
      </c>
      <c r="C252" s="39">
        <v>45801</v>
      </c>
      <c r="D252" s="35"/>
      <c r="E252" s="35">
        <v>3500</v>
      </c>
      <c r="F252" s="67" t="s">
        <v>172</v>
      </c>
      <c r="G252" s="41" t="s">
        <v>80</v>
      </c>
      <c r="H252" s="41" t="s">
        <v>108</v>
      </c>
      <c r="I252" s="69"/>
      <c r="J252" s="41" t="s">
        <v>65</v>
      </c>
      <c r="K252" s="40"/>
      <c r="L252" s="28">
        <f t="shared" ca="1" si="14"/>
        <v>-13486.14</v>
      </c>
    </row>
    <row r="253" spans="2:12" x14ac:dyDescent="0.25">
      <c r="B253" s="68" t="s">
        <v>23</v>
      </c>
      <c r="C253" s="39">
        <v>45801</v>
      </c>
      <c r="D253" s="35"/>
      <c r="E253" s="35">
        <v>400</v>
      </c>
      <c r="F253" s="67" t="s">
        <v>172</v>
      </c>
      <c r="G253" s="41" t="s">
        <v>80</v>
      </c>
      <c r="H253" s="41" t="s">
        <v>135</v>
      </c>
      <c r="I253" s="69"/>
      <c r="J253" s="41" t="s">
        <v>48</v>
      </c>
      <c r="K253" s="40"/>
      <c r="L253" s="28">
        <f t="shared" ca="1" si="14"/>
        <v>-13886.14</v>
      </c>
    </row>
    <row r="254" spans="2:12" x14ac:dyDescent="0.25">
      <c r="B254" s="68" t="s">
        <v>23</v>
      </c>
      <c r="C254" s="39">
        <v>45801</v>
      </c>
      <c r="D254" s="35"/>
      <c r="E254" s="35">
        <v>400</v>
      </c>
      <c r="F254" s="67" t="s">
        <v>173</v>
      </c>
      <c r="G254" s="41" t="s">
        <v>80</v>
      </c>
      <c r="H254" s="41" t="s">
        <v>108</v>
      </c>
      <c r="I254" s="69"/>
      <c r="J254" s="41" t="s">
        <v>65</v>
      </c>
      <c r="K254" s="40"/>
      <c r="L254" s="28">
        <f ca="1">IF(ISERROR(OFFSET(L254,-1,0,1,1)+D254-E254),D254-E254,OFFSET(L254,-1,0,1,1)+D254-E254)</f>
        <v>-14286.14</v>
      </c>
    </row>
    <row r="255" spans="2:12" x14ac:dyDescent="0.25">
      <c r="B255" s="68" t="s">
        <v>23</v>
      </c>
      <c r="C255" s="39">
        <v>45801</v>
      </c>
      <c r="D255" s="35"/>
      <c r="E255" s="35">
        <v>400</v>
      </c>
      <c r="F255" s="67" t="s">
        <v>173</v>
      </c>
      <c r="G255" s="41" t="s">
        <v>80</v>
      </c>
      <c r="H255" s="41" t="s">
        <v>135</v>
      </c>
      <c r="I255" s="69"/>
      <c r="J255" s="41" t="s">
        <v>48</v>
      </c>
      <c r="K255" s="40"/>
      <c r="L255" s="28">
        <f t="shared" ca="1" si="14"/>
        <v>-14686.14</v>
      </c>
    </row>
    <row r="256" spans="2:12" x14ac:dyDescent="0.25">
      <c r="B256" s="68" t="s">
        <v>22</v>
      </c>
      <c r="C256" s="39">
        <v>45801</v>
      </c>
      <c r="D256" s="35"/>
      <c r="E256" s="35">
        <v>800</v>
      </c>
      <c r="F256" s="67" t="s">
        <v>79</v>
      </c>
      <c r="G256" s="41" t="s">
        <v>80</v>
      </c>
      <c r="H256" s="41" t="s">
        <v>108</v>
      </c>
      <c r="I256" s="69"/>
      <c r="J256" s="41" t="s">
        <v>65</v>
      </c>
      <c r="K256" s="40"/>
      <c r="L256" s="28">
        <f t="shared" ca="1" si="14"/>
        <v>-15486.14</v>
      </c>
    </row>
    <row r="257" spans="2:12" x14ac:dyDescent="0.25">
      <c r="B257" s="68" t="s">
        <v>22</v>
      </c>
      <c r="C257" s="39">
        <v>45801</v>
      </c>
      <c r="D257" s="35"/>
      <c r="E257" s="35">
        <v>400</v>
      </c>
      <c r="F257" s="67" t="s">
        <v>79</v>
      </c>
      <c r="G257" s="41" t="s">
        <v>80</v>
      </c>
      <c r="H257" s="41" t="s">
        <v>135</v>
      </c>
      <c r="I257" s="69"/>
      <c r="J257" s="41" t="s">
        <v>48</v>
      </c>
      <c r="K257" s="40"/>
      <c r="L257" s="28">
        <f t="shared" ca="1" si="10"/>
        <v>-15886.14</v>
      </c>
    </row>
    <row r="258" spans="2:12" x14ac:dyDescent="0.25">
      <c r="B258" s="68" t="s">
        <v>22</v>
      </c>
      <c r="C258" s="39">
        <v>45805</v>
      </c>
      <c r="D258" s="35"/>
      <c r="E258" s="35">
        <v>2800</v>
      </c>
      <c r="F258" s="67" t="s">
        <v>171</v>
      </c>
      <c r="G258" s="41" t="s">
        <v>80</v>
      </c>
      <c r="H258" s="41" t="s">
        <v>108</v>
      </c>
      <c r="I258" s="69"/>
      <c r="J258" s="41" t="s">
        <v>65</v>
      </c>
      <c r="K258" s="40"/>
      <c r="L258" s="28">
        <f t="shared" ca="1" si="10"/>
        <v>-18686.14</v>
      </c>
    </row>
    <row r="259" spans="2:12" x14ac:dyDescent="0.25">
      <c r="B259" s="68" t="s">
        <v>22</v>
      </c>
      <c r="C259" s="39">
        <v>45806</v>
      </c>
      <c r="D259" s="57"/>
      <c r="E259" s="35">
        <v>5505</v>
      </c>
      <c r="F259" s="67" t="s">
        <v>195</v>
      </c>
      <c r="G259" s="41" t="s">
        <v>80</v>
      </c>
      <c r="H259" s="41" t="s">
        <v>78</v>
      </c>
      <c r="I259" s="69" t="s">
        <v>190</v>
      </c>
      <c r="J259" s="41" t="s">
        <v>103</v>
      </c>
      <c r="K259" s="40"/>
      <c r="L259" s="28">
        <f t="shared" ref="L259:L268" ca="1" si="15">IF(ISERROR(OFFSET(L259,-1,0,1,1)+D259-E259),D259-E259,OFFSET(L259,-1,0,1,1)+D259-E259)</f>
        <v>-24191.14</v>
      </c>
    </row>
    <row r="260" spans="2:12" x14ac:dyDescent="0.25">
      <c r="B260" s="68" t="s">
        <v>23</v>
      </c>
      <c r="C260" s="39">
        <v>45807</v>
      </c>
      <c r="D260" s="57">
        <v>575</v>
      </c>
      <c r="F260" s="67" t="s">
        <v>329</v>
      </c>
      <c r="G260" s="41" t="s">
        <v>80</v>
      </c>
      <c r="H260" s="41" t="s">
        <v>319</v>
      </c>
      <c r="I260" s="69" t="s">
        <v>320</v>
      </c>
      <c r="J260" s="41" t="s">
        <v>99</v>
      </c>
      <c r="K260" s="40"/>
      <c r="L260" s="28">
        <f t="shared" ca="1" si="15"/>
        <v>-23616.14</v>
      </c>
    </row>
    <row r="261" spans="2:12" x14ac:dyDescent="0.25">
      <c r="B261" s="68" t="s">
        <v>23</v>
      </c>
      <c r="C261" s="39">
        <v>45807</v>
      </c>
      <c r="D261" s="35"/>
      <c r="E261" s="35">
        <v>2050</v>
      </c>
      <c r="F261" s="67" t="s">
        <v>98</v>
      </c>
      <c r="G261" s="41" t="s">
        <v>80</v>
      </c>
      <c r="H261" s="41" t="s">
        <v>108</v>
      </c>
      <c r="I261" s="42"/>
      <c r="J261" s="41" t="s">
        <v>65</v>
      </c>
      <c r="K261" s="40"/>
      <c r="L261" s="28">
        <f t="shared" ca="1" si="15"/>
        <v>-25666.14</v>
      </c>
    </row>
    <row r="262" spans="2:12" x14ac:dyDescent="0.25">
      <c r="B262" s="68" t="s">
        <v>23</v>
      </c>
      <c r="C262" s="39">
        <v>45807</v>
      </c>
      <c r="D262" s="35"/>
      <c r="E262" s="35">
        <v>400</v>
      </c>
      <c r="F262" s="67" t="s">
        <v>98</v>
      </c>
      <c r="G262" s="41" t="s">
        <v>80</v>
      </c>
      <c r="H262" s="41" t="s">
        <v>135</v>
      </c>
      <c r="I262" s="42"/>
      <c r="J262" s="41" t="s">
        <v>48</v>
      </c>
      <c r="K262" s="40"/>
      <c r="L262" s="28">
        <f t="shared" ca="1" si="15"/>
        <v>-26066.14</v>
      </c>
    </row>
    <row r="263" spans="2:12" x14ac:dyDescent="0.25">
      <c r="B263" s="38"/>
      <c r="C263" s="39"/>
      <c r="D263" s="35"/>
      <c r="F263" s="40"/>
      <c r="G263" s="41"/>
      <c r="H263" s="41"/>
      <c r="I263" s="42"/>
      <c r="J263" s="41"/>
      <c r="K263" s="40"/>
      <c r="L263" s="28">
        <f ca="1">IF(ISERROR(OFFSET(L263,-1,0,1,1)+D263-E263),D263-E263,OFFSET(L263,-1,0,1,1)+D263-E263)</f>
        <v>-26066.14</v>
      </c>
    </row>
    <row r="264" spans="2:12" x14ac:dyDescent="0.25">
      <c r="B264" s="38"/>
      <c r="C264" s="39"/>
      <c r="D264" s="35"/>
      <c r="F264" s="40"/>
      <c r="G264" s="41"/>
      <c r="H264" s="41"/>
      <c r="I264" s="42"/>
      <c r="J264" s="41"/>
      <c r="K264" s="40"/>
      <c r="L264" s="28">
        <f ca="1">IF(ISERROR(OFFSET(L264,-1,0,1,1)+D264-E264),D264-E264,OFFSET(L264,-1,0,1,1)+D264-E264)</f>
        <v>-26066.14</v>
      </c>
    </row>
    <row r="265" spans="2:12" x14ac:dyDescent="0.25">
      <c r="B265" s="38"/>
      <c r="C265" s="44"/>
      <c r="D265" s="57"/>
      <c r="F265" s="40"/>
      <c r="G265" s="41"/>
      <c r="H265" s="41"/>
      <c r="I265" s="42"/>
      <c r="J265" s="41"/>
      <c r="K265" s="40"/>
      <c r="L265" s="28">
        <f t="shared" ca="1" si="15"/>
        <v>-26066.14</v>
      </c>
    </row>
    <row r="266" spans="2:12" x14ac:dyDescent="0.25">
      <c r="B266" s="38"/>
      <c r="C266" s="43"/>
      <c r="D266" s="59"/>
      <c r="F266" s="40"/>
      <c r="G266" s="41"/>
      <c r="H266" s="41"/>
      <c r="I266" s="42"/>
      <c r="J266" s="41"/>
      <c r="K266" s="40"/>
      <c r="L266" s="28" t="e">
        <f ca="1">IF(ISERROR(OFFSET(L266,-1,0,1,1)+#REF!-#REF!),#REF!-#REF!,OFFSET(L266,-1,0,1,1)+#REF!-#REF!)</f>
        <v>#REF!</v>
      </c>
    </row>
    <row r="267" spans="2:12" x14ac:dyDescent="0.25">
      <c r="B267" s="38"/>
      <c r="C267" s="44"/>
      <c r="D267" s="57"/>
      <c r="F267" s="40"/>
      <c r="G267" s="41"/>
      <c r="H267" s="41"/>
      <c r="I267" s="42"/>
      <c r="J267" s="41"/>
      <c r="K267" s="40"/>
      <c r="L267" s="28">
        <f t="shared" ca="1" si="15"/>
        <v>0</v>
      </c>
    </row>
    <row r="268" spans="2:12" x14ac:dyDescent="0.25">
      <c r="B268" s="38"/>
      <c r="C268" s="45"/>
      <c r="D268" s="35"/>
      <c r="F268" s="38"/>
      <c r="G268" s="41"/>
      <c r="H268" s="41"/>
      <c r="I268" s="42"/>
      <c r="J268" s="41"/>
      <c r="K268" s="40"/>
      <c r="L268" s="28">
        <f t="shared" ca="1" si="15"/>
        <v>0</v>
      </c>
    </row>
    <row r="269" spans="2:12" x14ac:dyDescent="0.25">
      <c r="B269" s="47"/>
      <c r="C269" s="48"/>
      <c r="D269" s="52">
        <f>SUBTOTAL(109,Mayo_2024[INGRESO])</f>
        <v>12675</v>
      </c>
      <c r="E269" s="52">
        <f>SUBTOTAL(109,Mayo_2024[EGRESO])</f>
        <v>38741.14</v>
      </c>
      <c r="F269" s="49"/>
      <c r="G269" s="50"/>
      <c r="H269" s="50"/>
      <c r="I269" s="51"/>
      <c r="J269" s="50"/>
      <c r="K269" s="49"/>
      <c r="L269" s="53"/>
    </row>
    <row r="270" spans="2:12" x14ac:dyDescent="0.25">
      <c r="D270" s="35"/>
    </row>
    <row r="271" spans="2:12" x14ac:dyDescent="0.25">
      <c r="B271" s="76" t="s">
        <v>125</v>
      </c>
      <c r="C271" s="77"/>
      <c r="D271" s="77"/>
      <c r="E271" s="77"/>
      <c r="F271" s="77"/>
      <c r="G271" s="77"/>
      <c r="H271" s="77"/>
      <c r="I271" s="77"/>
      <c r="J271" s="77"/>
      <c r="K271" s="77"/>
      <c r="L271" s="77"/>
    </row>
    <row r="272" spans="2:12" x14ac:dyDescent="0.25">
      <c r="B272" s="36" t="s">
        <v>16</v>
      </c>
      <c r="C272" s="37" t="s">
        <v>17</v>
      </c>
      <c r="D272" s="46" t="s">
        <v>73</v>
      </c>
      <c r="E272" s="46" t="s">
        <v>74</v>
      </c>
      <c r="F272" s="37" t="s">
        <v>54</v>
      </c>
      <c r="G272" s="37" t="s">
        <v>76</v>
      </c>
      <c r="H272" s="37" t="s">
        <v>77</v>
      </c>
      <c r="I272" s="37" t="s">
        <v>75</v>
      </c>
      <c r="J272" s="37" t="s">
        <v>18</v>
      </c>
      <c r="K272" s="37" t="s">
        <v>64</v>
      </c>
      <c r="L272" s="37" t="s">
        <v>19</v>
      </c>
    </row>
    <row r="273" spans="2:12" x14ac:dyDescent="0.25">
      <c r="B273" s="68" t="s">
        <v>22</v>
      </c>
      <c r="C273" s="44">
        <v>45809</v>
      </c>
      <c r="D273" s="35">
        <v>2000</v>
      </c>
      <c r="F273" s="64" t="s">
        <v>316</v>
      </c>
      <c r="G273" s="41" t="s">
        <v>80</v>
      </c>
      <c r="H273" s="41" t="s">
        <v>317</v>
      </c>
      <c r="I273" s="42" t="s">
        <v>318</v>
      </c>
      <c r="J273" s="41" t="s">
        <v>99</v>
      </c>
      <c r="K273" s="40"/>
      <c r="L273" s="28">
        <f t="shared" ref="L273:L308" ca="1" si="16">IF(ISERROR(OFFSET(L273,-1,0,1,1)+D273-E273),D273-E273,OFFSET(L273,-1,0,1,1)+D273-E273)</f>
        <v>2000</v>
      </c>
    </row>
    <row r="274" spans="2:12" x14ac:dyDescent="0.25">
      <c r="B274" s="68" t="s">
        <v>22</v>
      </c>
      <c r="C274" s="44">
        <v>45813</v>
      </c>
      <c r="D274" s="35">
        <v>19000</v>
      </c>
      <c r="F274" s="61" t="s">
        <v>302</v>
      </c>
      <c r="G274" s="41" t="s">
        <v>80</v>
      </c>
      <c r="H274" s="41" t="s">
        <v>325</v>
      </c>
      <c r="I274" s="42" t="s">
        <v>326</v>
      </c>
      <c r="J274" s="41" t="s">
        <v>99</v>
      </c>
      <c r="K274" s="40"/>
      <c r="L274" s="28">
        <f t="shared" ca="1" si="16"/>
        <v>21000</v>
      </c>
    </row>
    <row r="275" spans="2:12" x14ac:dyDescent="0.25">
      <c r="B275" s="68" t="s">
        <v>22</v>
      </c>
      <c r="C275" s="44">
        <v>45814</v>
      </c>
      <c r="D275" s="35">
        <v>375</v>
      </c>
      <c r="F275" s="67" t="s">
        <v>329</v>
      </c>
      <c r="G275" s="41" t="s">
        <v>80</v>
      </c>
      <c r="H275" s="41" t="s">
        <v>327</v>
      </c>
      <c r="I275" s="42" t="s">
        <v>328</v>
      </c>
      <c r="J275" s="41" t="s">
        <v>99</v>
      </c>
      <c r="K275" s="40"/>
      <c r="L275" s="28">
        <f t="shared" ca="1" si="16"/>
        <v>21375</v>
      </c>
    </row>
    <row r="276" spans="2:12" x14ac:dyDescent="0.25">
      <c r="B276" s="68" t="s">
        <v>23</v>
      </c>
      <c r="C276" s="44">
        <v>45815</v>
      </c>
      <c r="D276" s="35"/>
      <c r="E276" s="35">
        <v>499</v>
      </c>
      <c r="F276" s="67" t="s">
        <v>171</v>
      </c>
      <c r="G276" s="41" t="s">
        <v>80</v>
      </c>
      <c r="H276" s="41" t="s">
        <v>108</v>
      </c>
      <c r="I276" s="69" t="s">
        <v>330</v>
      </c>
      <c r="J276" s="41" t="s">
        <v>37</v>
      </c>
      <c r="K276" s="40"/>
      <c r="L276" s="28">
        <f t="shared" ca="1" si="16"/>
        <v>20876</v>
      </c>
    </row>
    <row r="277" spans="2:12" x14ac:dyDescent="0.25">
      <c r="B277" s="68" t="s">
        <v>22</v>
      </c>
      <c r="C277" s="44">
        <v>45815</v>
      </c>
      <c r="D277" s="35"/>
      <c r="E277" s="35">
        <v>4500</v>
      </c>
      <c r="F277" s="67" t="s">
        <v>171</v>
      </c>
      <c r="G277" s="41" t="s">
        <v>80</v>
      </c>
      <c r="H277" s="41" t="s">
        <v>108</v>
      </c>
      <c r="I277" s="69"/>
      <c r="J277" s="41" t="s">
        <v>65</v>
      </c>
      <c r="K277" s="40"/>
      <c r="L277" s="28">
        <f t="shared" ca="1" si="16"/>
        <v>16376</v>
      </c>
    </row>
    <row r="278" spans="2:12" x14ac:dyDescent="0.25">
      <c r="B278" s="68" t="s">
        <v>23</v>
      </c>
      <c r="C278" s="44">
        <v>45815</v>
      </c>
      <c r="D278" s="35"/>
      <c r="E278" s="35">
        <v>3500</v>
      </c>
      <c r="F278" s="67" t="s">
        <v>172</v>
      </c>
      <c r="G278" s="41" t="s">
        <v>80</v>
      </c>
      <c r="H278" s="41" t="s">
        <v>108</v>
      </c>
      <c r="I278" s="69"/>
      <c r="J278" s="41" t="s">
        <v>65</v>
      </c>
      <c r="K278" s="40"/>
      <c r="L278" s="28">
        <f t="shared" ca="1" si="16"/>
        <v>12876</v>
      </c>
    </row>
    <row r="279" spans="2:12" x14ac:dyDescent="0.25">
      <c r="B279" s="68" t="s">
        <v>22</v>
      </c>
      <c r="C279" s="44">
        <v>45815</v>
      </c>
      <c r="D279" s="35"/>
      <c r="E279" s="35">
        <v>400</v>
      </c>
      <c r="F279" s="67" t="s">
        <v>172</v>
      </c>
      <c r="G279" s="41" t="s">
        <v>80</v>
      </c>
      <c r="H279" s="41" t="s">
        <v>135</v>
      </c>
      <c r="I279" s="69"/>
      <c r="J279" s="41" t="s">
        <v>48</v>
      </c>
      <c r="K279" s="40"/>
      <c r="L279" s="28">
        <f t="shared" ca="1" si="16"/>
        <v>12476</v>
      </c>
    </row>
    <row r="280" spans="2:12" x14ac:dyDescent="0.25">
      <c r="B280" s="68" t="s">
        <v>22</v>
      </c>
      <c r="C280" s="44">
        <v>45815</v>
      </c>
      <c r="D280" s="35"/>
      <c r="E280" s="35">
        <v>400</v>
      </c>
      <c r="F280" s="67" t="s">
        <v>173</v>
      </c>
      <c r="G280" s="41" t="s">
        <v>80</v>
      </c>
      <c r="H280" s="41" t="s">
        <v>108</v>
      </c>
      <c r="I280" s="69"/>
      <c r="J280" s="41" t="s">
        <v>65</v>
      </c>
      <c r="K280" s="41"/>
      <c r="L280" s="28">
        <f t="shared" ca="1" si="16"/>
        <v>12076</v>
      </c>
    </row>
    <row r="281" spans="2:12" x14ac:dyDescent="0.25">
      <c r="B281" s="68" t="s">
        <v>22</v>
      </c>
      <c r="C281" s="44">
        <v>45815</v>
      </c>
      <c r="D281" s="35"/>
      <c r="E281" s="35">
        <v>400</v>
      </c>
      <c r="F281" s="67" t="s">
        <v>173</v>
      </c>
      <c r="G281" s="41" t="s">
        <v>80</v>
      </c>
      <c r="H281" s="41" t="s">
        <v>135</v>
      </c>
      <c r="I281" s="69"/>
      <c r="J281" s="41" t="s">
        <v>48</v>
      </c>
      <c r="K281" s="40"/>
      <c r="L281" s="28">
        <f t="shared" ca="1" si="16"/>
        <v>11676</v>
      </c>
    </row>
    <row r="282" spans="2:12" x14ac:dyDescent="0.25">
      <c r="B282" s="68" t="s">
        <v>22</v>
      </c>
      <c r="C282" s="44">
        <v>45815</v>
      </c>
      <c r="D282" s="35"/>
      <c r="E282" s="35">
        <v>800</v>
      </c>
      <c r="F282" s="67" t="s">
        <v>79</v>
      </c>
      <c r="G282" s="41" t="s">
        <v>80</v>
      </c>
      <c r="H282" s="41" t="s">
        <v>108</v>
      </c>
      <c r="I282" s="69"/>
      <c r="J282" s="41" t="s">
        <v>65</v>
      </c>
      <c r="K282" s="40"/>
      <c r="L282" s="28">
        <f t="shared" ca="1" si="16"/>
        <v>10876</v>
      </c>
    </row>
    <row r="283" spans="2:12" x14ac:dyDescent="0.25">
      <c r="B283" s="68" t="s">
        <v>22</v>
      </c>
      <c r="C283" s="44">
        <v>45815</v>
      </c>
      <c r="D283" s="35"/>
      <c r="E283" s="35">
        <v>400</v>
      </c>
      <c r="F283" s="67" t="s">
        <v>79</v>
      </c>
      <c r="G283" s="41" t="s">
        <v>80</v>
      </c>
      <c r="H283" s="41" t="s">
        <v>135</v>
      </c>
      <c r="I283" s="69"/>
      <c r="J283" s="41" t="s">
        <v>48</v>
      </c>
      <c r="K283" s="40"/>
      <c r="L283" s="28">
        <f t="shared" ca="1" si="16"/>
        <v>10476</v>
      </c>
    </row>
    <row r="284" spans="2:12" x14ac:dyDescent="0.25">
      <c r="B284" s="68" t="s">
        <v>22</v>
      </c>
      <c r="C284" s="44">
        <v>45815</v>
      </c>
      <c r="D284" s="35"/>
      <c r="E284" s="35">
        <v>2050</v>
      </c>
      <c r="F284" s="67" t="s">
        <v>98</v>
      </c>
      <c r="G284" s="41" t="s">
        <v>80</v>
      </c>
      <c r="H284" s="41" t="s">
        <v>108</v>
      </c>
      <c r="I284" s="42"/>
      <c r="J284" s="41" t="s">
        <v>65</v>
      </c>
      <c r="K284" s="40"/>
      <c r="L284" s="28">
        <f t="shared" ca="1" si="16"/>
        <v>8426</v>
      </c>
    </row>
    <row r="285" spans="2:12" x14ac:dyDescent="0.25">
      <c r="B285" s="68" t="s">
        <v>22</v>
      </c>
      <c r="C285" s="44">
        <v>45815</v>
      </c>
      <c r="D285" s="35"/>
      <c r="E285" s="35">
        <v>400</v>
      </c>
      <c r="F285" s="67" t="s">
        <v>98</v>
      </c>
      <c r="G285" s="41" t="s">
        <v>80</v>
      </c>
      <c r="H285" s="41" t="s">
        <v>135</v>
      </c>
      <c r="I285" s="42"/>
      <c r="J285" s="41" t="s">
        <v>48</v>
      </c>
      <c r="K285" s="40"/>
      <c r="L285" s="28">
        <f t="shared" ca="1" si="16"/>
        <v>8026</v>
      </c>
    </row>
    <row r="286" spans="2:12" x14ac:dyDescent="0.25">
      <c r="B286" s="68" t="s">
        <v>22</v>
      </c>
      <c r="C286" s="44">
        <v>45820</v>
      </c>
      <c r="D286" s="35"/>
      <c r="E286" s="35">
        <v>7425</v>
      </c>
      <c r="F286" s="67" t="s">
        <v>195</v>
      </c>
      <c r="G286" s="41" t="s">
        <v>80</v>
      </c>
      <c r="H286" s="41" t="s">
        <v>78</v>
      </c>
      <c r="I286" s="69" t="s">
        <v>190</v>
      </c>
      <c r="J286" s="41" t="s">
        <v>103</v>
      </c>
      <c r="K286" s="40"/>
      <c r="L286" s="28">
        <f t="shared" ca="1" si="16"/>
        <v>601</v>
      </c>
    </row>
    <row r="287" spans="2:12" x14ac:dyDescent="0.25">
      <c r="B287" s="68" t="s">
        <v>22</v>
      </c>
      <c r="C287" s="44">
        <v>45821</v>
      </c>
      <c r="D287" s="35">
        <v>8400</v>
      </c>
      <c r="F287" s="67" t="s">
        <v>331</v>
      </c>
      <c r="G287" s="41" t="s">
        <v>80</v>
      </c>
      <c r="H287" s="41" t="s">
        <v>332</v>
      </c>
      <c r="I287" s="42" t="s">
        <v>333</v>
      </c>
      <c r="J287" s="41" t="s">
        <v>99</v>
      </c>
      <c r="K287" s="40"/>
      <c r="L287" s="28">
        <f t="shared" ca="1" si="16"/>
        <v>9001</v>
      </c>
    </row>
    <row r="288" spans="2:12" x14ac:dyDescent="0.25">
      <c r="B288" s="68" t="s">
        <v>23</v>
      </c>
      <c r="C288" s="44">
        <v>45825</v>
      </c>
      <c r="D288" s="35">
        <v>3600</v>
      </c>
      <c r="F288" s="67" t="s">
        <v>334</v>
      </c>
      <c r="G288" s="41" t="s">
        <v>80</v>
      </c>
      <c r="H288" s="41" t="s">
        <v>335</v>
      </c>
      <c r="I288" s="42" t="s">
        <v>336</v>
      </c>
      <c r="J288" s="41" t="s">
        <v>99</v>
      </c>
      <c r="K288" s="40"/>
      <c r="L288" s="28">
        <f t="shared" ca="1" si="16"/>
        <v>12601</v>
      </c>
    </row>
    <row r="289" spans="2:12" x14ac:dyDescent="0.25">
      <c r="B289" s="68" t="s">
        <v>22</v>
      </c>
      <c r="C289" s="44">
        <v>45829</v>
      </c>
      <c r="D289" s="35">
        <v>1800</v>
      </c>
      <c r="F289" s="67" t="s">
        <v>291</v>
      </c>
      <c r="G289" s="41" t="s">
        <v>80</v>
      </c>
      <c r="H289" s="41" t="s">
        <v>342</v>
      </c>
      <c r="I289" s="42" t="s">
        <v>296</v>
      </c>
      <c r="J289" s="41" t="s">
        <v>99</v>
      </c>
      <c r="K289" s="40"/>
      <c r="L289" s="28">
        <f t="shared" ref="L289" ca="1" si="17">IF(ISERROR(OFFSET(L289,-1,0,1,1)+D289-E289),D289-E289,OFFSET(L289,-1,0,1,1)+D289-E289)</f>
        <v>14401</v>
      </c>
    </row>
    <row r="290" spans="2:12" x14ac:dyDescent="0.25">
      <c r="B290" s="68" t="s">
        <v>22</v>
      </c>
      <c r="C290" s="44">
        <v>45829</v>
      </c>
      <c r="D290" s="29"/>
      <c r="E290" s="35">
        <v>4500</v>
      </c>
      <c r="F290" s="67" t="s">
        <v>171</v>
      </c>
      <c r="G290" s="41" t="s">
        <v>80</v>
      </c>
      <c r="H290" s="41" t="s">
        <v>108</v>
      </c>
      <c r="I290" s="69"/>
      <c r="J290" s="41" t="s">
        <v>65</v>
      </c>
      <c r="K290" s="40"/>
      <c r="L290" s="28">
        <f t="shared" ref="L290:L297" ca="1" si="18">IF(ISERROR(OFFSET(L290,-1,0,1,1)+D290-E290),D290-E290,OFFSET(L290,-1,0,1,1)+D290-E290)</f>
        <v>9901</v>
      </c>
    </row>
    <row r="291" spans="2:12" x14ac:dyDescent="0.25">
      <c r="B291" s="68" t="s">
        <v>22</v>
      </c>
      <c r="C291" s="44">
        <v>45829</v>
      </c>
      <c r="D291" s="29"/>
      <c r="E291" s="35">
        <v>3500</v>
      </c>
      <c r="F291" s="67" t="s">
        <v>172</v>
      </c>
      <c r="G291" s="41" t="s">
        <v>80</v>
      </c>
      <c r="H291" s="41" t="s">
        <v>108</v>
      </c>
      <c r="I291" s="69"/>
      <c r="J291" s="41" t="s">
        <v>65</v>
      </c>
      <c r="K291" s="40"/>
      <c r="L291" s="28">
        <f t="shared" ca="1" si="18"/>
        <v>6401</v>
      </c>
    </row>
    <row r="292" spans="2:12" x14ac:dyDescent="0.25">
      <c r="B292" s="68" t="s">
        <v>22</v>
      </c>
      <c r="C292" s="44">
        <v>45829</v>
      </c>
      <c r="D292" s="29"/>
      <c r="E292" s="35">
        <v>400</v>
      </c>
      <c r="F292" s="67" t="s">
        <v>172</v>
      </c>
      <c r="G292" s="41" t="s">
        <v>80</v>
      </c>
      <c r="H292" s="41" t="s">
        <v>135</v>
      </c>
      <c r="I292" s="69"/>
      <c r="J292" s="41" t="s">
        <v>48</v>
      </c>
      <c r="K292" s="40"/>
      <c r="L292" s="28">
        <f t="shared" ca="1" si="18"/>
        <v>6001</v>
      </c>
    </row>
    <row r="293" spans="2:12" x14ac:dyDescent="0.25">
      <c r="B293" s="68" t="s">
        <v>22</v>
      </c>
      <c r="C293" s="44">
        <v>45829</v>
      </c>
      <c r="D293" s="29"/>
      <c r="E293" s="35">
        <v>200</v>
      </c>
      <c r="F293" s="67" t="s">
        <v>173</v>
      </c>
      <c r="G293" s="41" t="s">
        <v>80</v>
      </c>
      <c r="H293" s="41" t="s">
        <v>135</v>
      </c>
      <c r="I293" s="69"/>
      <c r="J293" s="41" t="s">
        <v>48</v>
      </c>
      <c r="K293" s="40"/>
      <c r="L293" s="28">
        <f t="shared" ca="1" si="18"/>
        <v>5801</v>
      </c>
    </row>
    <row r="294" spans="2:12" x14ac:dyDescent="0.25">
      <c r="B294" s="68" t="s">
        <v>22</v>
      </c>
      <c r="C294" s="44">
        <v>45829</v>
      </c>
      <c r="D294" s="29"/>
      <c r="E294" s="35">
        <v>800</v>
      </c>
      <c r="F294" s="67" t="s">
        <v>79</v>
      </c>
      <c r="G294" s="41" t="s">
        <v>80</v>
      </c>
      <c r="H294" s="41" t="s">
        <v>108</v>
      </c>
      <c r="I294" s="69"/>
      <c r="J294" s="41" t="s">
        <v>65</v>
      </c>
      <c r="K294" s="40"/>
      <c r="L294" s="28">
        <f t="shared" ca="1" si="18"/>
        <v>5001</v>
      </c>
    </row>
    <row r="295" spans="2:12" x14ac:dyDescent="0.25">
      <c r="B295" s="68" t="s">
        <v>22</v>
      </c>
      <c r="C295" s="44">
        <v>45829</v>
      </c>
      <c r="D295" s="29"/>
      <c r="E295" s="35">
        <v>400</v>
      </c>
      <c r="F295" s="67" t="s">
        <v>79</v>
      </c>
      <c r="G295" s="41" t="s">
        <v>80</v>
      </c>
      <c r="H295" s="41" t="s">
        <v>135</v>
      </c>
      <c r="I295" s="69"/>
      <c r="J295" s="41" t="s">
        <v>48</v>
      </c>
      <c r="K295" s="40"/>
      <c r="L295" s="28">
        <f t="shared" ca="1" si="18"/>
        <v>4601</v>
      </c>
    </row>
    <row r="296" spans="2:12" x14ac:dyDescent="0.25">
      <c r="B296" s="68" t="s">
        <v>22</v>
      </c>
      <c r="C296" s="44">
        <v>45829</v>
      </c>
      <c r="D296" s="29"/>
      <c r="E296" s="35">
        <v>2050</v>
      </c>
      <c r="F296" s="67" t="s">
        <v>98</v>
      </c>
      <c r="G296" s="41" t="s">
        <v>80</v>
      </c>
      <c r="H296" s="41" t="s">
        <v>108</v>
      </c>
      <c r="I296" s="42"/>
      <c r="J296" s="41" t="s">
        <v>65</v>
      </c>
      <c r="K296" s="40"/>
      <c r="L296" s="28">
        <f t="shared" ca="1" si="18"/>
        <v>2551</v>
      </c>
    </row>
    <row r="297" spans="2:12" x14ac:dyDescent="0.25">
      <c r="B297" s="68" t="s">
        <v>22</v>
      </c>
      <c r="C297" s="44">
        <v>45829</v>
      </c>
      <c r="D297" s="29"/>
      <c r="E297" s="35">
        <v>400</v>
      </c>
      <c r="F297" s="67" t="s">
        <v>98</v>
      </c>
      <c r="G297" s="41" t="s">
        <v>80</v>
      </c>
      <c r="H297" s="41" t="s">
        <v>135</v>
      </c>
      <c r="I297" s="42"/>
      <c r="J297" s="41" t="s">
        <v>48</v>
      </c>
      <c r="K297" s="40"/>
      <c r="L297" s="28">
        <f t="shared" ca="1" si="18"/>
        <v>2151</v>
      </c>
    </row>
    <row r="298" spans="2:12" x14ac:dyDescent="0.25">
      <c r="B298" s="68" t="s">
        <v>23</v>
      </c>
      <c r="C298" s="44">
        <v>45831</v>
      </c>
      <c r="D298" s="35">
        <v>2800</v>
      </c>
      <c r="F298" s="68" t="s">
        <v>340</v>
      </c>
      <c r="G298" s="41" t="s">
        <v>80</v>
      </c>
      <c r="H298" s="41" t="s">
        <v>343</v>
      </c>
      <c r="I298" s="42" t="s">
        <v>344</v>
      </c>
      <c r="J298" s="41" t="s">
        <v>99</v>
      </c>
      <c r="K298" s="40"/>
      <c r="L298" s="28">
        <f t="shared" ca="1" si="16"/>
        <v>4951</v>
      </c>
    </row>
    <row r="299" spans="2:12" x14ac:dyDescent="0.25">
      <c r="B299" s="68" t="s">
        <v>22</v>
      </c>
      <c r="C299" s="44">
        <v>45831</v>
      </c>
      <c r="D299" s="35">
        <v>840</v>
      </c>
      <c r="F299" s="68" t="s">
        <v>341</v>
      </c>
      <c r="G299" s="41" t="s">
        <v>80</v>
      </c>
      <c r="H299" s="41" t="s">
        <v>351</v>
      </c>
      <c r="I299" s="42" t="s">
        <v>345</v>
      </c>
      <c r="J299" s="41" t="s">
        <v>99</v>
      </c>
      <c r="K299" s="40"/>
      <c r="L299" s="28">
        <f t="shared" ca="1" si="16"/>
        <v>5791</v>
      </c>
    </row>
    <row r="300" spans="2:12" x14ac:dyDescent="0.25">
      <c r="B300" s="68" t="s">
        <v>22</v>
      </c>
      <c r="C300" s="44">
        <v>45835</v>
      </c>
      <c r="D300" s="35">
        <v>4800</v>
      </c>
      <c r="F300" s="67" t="s">
        <v>253</v>
      </c>
      <c r="G300" s="41" t="s">
        <v>80</v>
      </c>
      <c r="H300" s="41" t="s">
        <v>352</v>
      </c>
      <c r="I300" s="42" t="s">
        <v>353</v>
      </c>
      <c r="J300" s="41" t="s">
        <v>99</v>
      </c>
      <c r="K300" s="40"/>
      <c r="L300" s="28">
        <f t="shared" ref="L300" ca="1" si="19">IF(ISERROR(OFFSET(L300,-1,0,1,1)+D300-E300),D300-E300,OFFSET(L300,-1,0,1,1)+D300-E300)</f>
        <v>10591</v>
      </c>
    </row>
    <row r="301" spans="2:12" x14ac:dyDescent="0.25">
      <c r="B301" s="68" t="s">
        <v>23</v>
      </c>
      <c r="C301" s="44">
        <v>45836</v>
      </c>
      <c r="D301" s="35"/>
      <c r="E301" s="35">
        <v>110</v>
      </c>
      <c r="F301" s="68" t="s">
        <v>247</v>
      </c>
      <c r="G301" s="41" t="s">
        <v>80</v>
      </c>
      <c r="H301" s="41" t="s">
        <v>78</v>
      </c>
      <c r="I301" s="42" t="s">
        <v>346</v>
      </c>
      <c r="J301" s="41" t="s">
        <v>36</v>
      </c>
      <c r="K301" s="40"/>
      <c r="L301" s="28">
        <f t="shared" ca="1" si="16"/>
        <v>10481</v>
      </c>
    </row>
    <row r="302" spans="2:12" x14ac:dyDescent="0.25">
      <c r="B302" s="68" t="s">
        <v>23</v>
      </c>
      <c r="C302" s="44">
        <v>45836</v>
      </c>
      <c r="D302" s="35"/>
      <c r="E302" s="35">
        <v>500</v>
      </c>
      <c r="F302" s="67" t="s">
        <v>347</v>
      </c>
      <c r="G302" s="41" t="s">
        <v>80</v>
      </c>
      <c r="H302" s="41" t="s">
        <v>78</v>
      </c>
      <c r="I302" s="42" t="s">
        <v>348</v>
      </c>
      <c r="J302" s="41" t="s">
        <v>12</v>
      </c>
      <c r="K302" s="40"/>
      <c r="L302" s="28">
        <f t="shared" ca="1" si="16"/>
        <v>9981</v>
      </c>
    </row>
    <row r="303" spans="2:12" x14ac:dyDescent="0.25">
      <c r="B303" s="68" t="s">
        <v>191</v>
      </c>
      <c r="C303" s="44">
        <v>45836</v>
      </c>
      <c r="D303" s="35"/>
      <c r="E303" s="35">
        <v>477.52</v>
      </c>
      <c r="F303" s="68" t="s">
        <v>110</v>
      </c>
      <c r="G303" s="41" t="s">
        <v>349</v>
      </c>
      <c r="H303" s="41" t="s">
        <v>78</v>
      </c>
      <c r="I303" s="42" t="s">
        <v>350</v>
      </c>
      <c r="J303" s="41" t="s">
        <v>109</v>
      </c>
      <c r="K303" s="40"/>
      <c r="L303" s="28">
        <f t="shared" ca="1" si="16"/>
        <v>9503.48</v>
      </c>
    </row>
    <row r="304" spans="2:12" x14ac:dyDescent="0.25">
      <c r="B304" s="38"/>
      <c r="C304" s="44"/>
      <c r="D304" s="35"/>
      <c r="F304" s="67"/>
      <c r="G304" s="41"/>
      <c r="H304" s="41"/>
      <c r="I304" s="42"/>
      <c r="J304" s="41"/>
      <c r="K304" s="40"/>
      <c r="L304" s="28">
        <f t="shared" ca="1" si="16"/>
        <v>9503.48</v>
      </c>
    </row>
    <row r="305" spans="2:12" x14ac:dyDescent="0.25">
      <c r="B305" s="38"/>
      <c r="C305" s="44"/>
      <c r="D305" s="35"/>
      <c r="F305" s="38"/>
      <c r="G305" s="41"/>
      <c r="H305" s="41"/>
      <c r="I305" s="42"/>
      <c r="J305" s="41"/>
      <c r="K305" s="40"/>
      <c r="L305" s="28">
        <f t="shared" ca="1" si="16"/>
        <v>9503.48</v>
      </c>
    </row>
    <row r="306" spans="2:12" x14ac:dyDescent="0.25">
      <c r="B306" s="38"/>
      <c r="C306" s="44"/>
      <c r="D306" s="35"/>
      <c r="F306" s="38"/>
      <c r="G306" s="41"/>
      <c r="H306" s="41"/>
      <c r="I306" s="42"/>
      <c r="J306" s="41"/>
      <c r="K306" s="40"/>
      <c r="L306" s="28">
        <f t="shared" ca="1" si="16"/>
        <v>9503.48</v>
      </c>
    </row>
    <row r="307" spans="2:12" x14ac:dyDescent="0.25">
      <c r="B307" s="38"/>
      <c r="C307" s="44"/>
      <c r="D307" s="35"/>
      <c r="F307" s="38"/>
      <c r="G307" s="41"/>
      <c r="H307" s="41"/>
      <c r="I307" s="42"/>
      <c r="J307" s="41"/>
      <c r="K307" s="40"/>
      <c r="L307" s="28">
        <f t="shared" ca="1" si="16"/>
        <v>9503.48</v>
      </c>
    </row>
    <row r="308" spans="2:12" x14ac:dyDescent="0.25">
      <c r="B308" s="38"/>
      <c r="C308" s="44"/>
      <c r="D308" s="35"/>
      <c r="F308" s="38"/>
      <c r="G308" s="41"/>
      <c r="H308" s="41"/>
      <c r="I308" s="42"/>
      <c r="J308" s="41"/>
      <c r="K308" s="40"/>
      <c r="L308" s="28">
        <f t="shared" ca="1" si="16"/>
        <v>9503.48</v>
      </c>
    </row>
    <row r="309" spans="2:12" x14ac:dyDescent="0.25">
      <c r="B309" s="38"/>
      <c r="C309" s="44"/>
      <c r="D309" s="35"/>
      <c r="F309" s="38"/>
      <c r="G309" s="41"/>
      <c r="H309" s="41"/>
      <c r="I309" s="42"/>
      <c r="J309" s="41"/>
      <c r="K309" s="40"/>
      <c r="L309" s="28">
        <f t="shared" ref="L309:L337" ca="1" si="20">IF(ISERROR(OFFSET(L309,-1,0,1,1)+D309-E309),D309-E309,OFFSET(L309,-1,0,1,1)+D309-E309)</f>
        <v>9503.48</v>
      </c>
    </row>
    <row r="310" spans="2:12" x14ac:dyDescent="0.25">
      <c r="B310" s="38"/>
      <c r="C310" s="44"/>
      <c r="D310" s="35"/>
      <c r="F310" s="38"/>
      <c r="G310" s="41"/>
      <c r="H310" s="41"/>
      <c r="I310" s="42"/>
      <c r="J310" s="41"/>
      <c r="K310" s="40"/>
      <c r="L310" s="28">
        <f t="shared" ca="1" si="20"/>
        <v>9503.48</v>
      </c>
    </row>
    <row r="311" spans="2:12" x14ac:dyDescent="0.25">
      <c r="B311" s="38"/>
      <c r="C311" s="44"/>
      <c r="D311" s="35"/>
      <c r="F311" s="38"/>
      <c r="G311" s="41"/>
      <c r="H311" s="41"/>
      <c r="I311" s="42"/>
      <c r="J311" s="41"/>
      <c r="K311" s="40"/>
      <c r="L311" s="28">
        <f t="shared" ca="1" si="20"/>
        <v>9503.48</v>
      </c>
    </row>
    <row r="312" spans="2:12" x14ac:dyDescent="0.25">
      <c r="B312" s="38"/>
      <c r="C312" s="44"/>
      <c r="D312" s="35"/>
      <c r="F312" s="40"/>
      <c r="G312" s="41"/>
      <c r="H312" s="41"/>
      <c r="I312" s="42"/>
      <c r="J312" s="41"/>
      <c r="K312" s="40"/>
      <c r="L312" s="28">
        <f t="shared" ca="1" si="20"/>
        <v>9503.48</v>
      </c>
    </row>
    <row r="313" spans="2:12" x14ac:dyDescent="0.25">
      <c r="B313" s="38"/>
      <c r="C313" s="44"/>
      <c r="D313" s="35"/>
      <c r="F313" s="40"/>
      <c r="G313" s="41"/>
      <c r="H313" s="41"/>
      <c r="I313" s="42"/>
      <c r="J313" s="41"/>
      <c r="K313" s="40"/>
      <c r="L313" s="28">
        <f t="shared" ca="1" si="20"/>
        <v>9503.48</v>
      </c>
    </row>
    <row r="314" spans="2:12" x14ac:dyDescent="0.25">
      <c r="B314" s="38"/>
      <c r="C314" s="44"/>
      <c r="D314" s="35"/>
      <c r="F314" s="38"/>
      <c r="G314" s="41"/>
      <c r="H314" s="41"/>
      <c r="I314" s="42"/>
      <c r="J314" s="41"/>
      <c r="K314" s="40"/>
      <c r="L314" s="28">
        <f t="shared" ca="1" si="20"/>
        <v>9503.48</v>
      </c>
    </row>
    <row r="315" spans="2:12" x14ac:dyDescent="0.25">
      <c r="B315" s="38"/>
      <c r="C315" s="45"/>
      <c r="D315" s="35"/>
      <c r="F315" s="38"/>
      <c r="G315" s="41"/>
      <c r="H315" s="41"/>
      <c r="I315" s="42"/>
      <c r="J315" s="41"/>
      <c r="K315" s="40"/>
      <c r="L315" s="28">
        <f t="shared" ca="1" si="20"/>
        <v>9503.48</v>
      </c>
    </row>
    <row r="316" spans="2:12" x14ac:dyDescent="0.25">
      <c r="B316" s="38"/>
      <c r="C316" s="45"/>
      <c r="D316" s="35"/>
      <c r="F316" s="38"/>
      <c r="G316" s="41"/>
      <c r="H316" s="41"/>
      <c r="I316" s="42"/>
      <c r="J316" s="41"/>
      <c r="K316" s="40"/>
      <c r="L316" s="28">
        <f t="shared" ca="1" si="20"/>
        <v>9503.48</v>
      </c>
    </row>
    <row r="317" spans="2:12" x14ac:dyDescent="0.25">
      <c r="B317" s="38"/>
      <c r="C317" s="45"/>
      <c r="D317" s="35"/>
      <c r="F317" s="40"/>
      <c r="G317" s="41"/>
      <c r="H317" s="41"/>
      <c r="I317" s="42"/>
      <c r="J317" s="41"/>
      <c r="K317" s="40"/>
      <c r="L317" s="28">
        <f t="shared" ca="1" si="20"/>
        <v>9503.48</v>
      </c>
    </row>
    <row r="318" spans="2:12" x14ac:dyDescent="0.25">
      <c r="B318" s="38"/>
      <c r="C318" s="45"/>
      <c r="D318" s="35"/>
      <c r="F318" s="40"/>
      <c r="G318" s="41"/>
      <c r="H318" s="41"/>
      <c r="I318" s="42"/>
      <c r="J318" s="41"/>
      <c r="K318" s="40"/>
      <c r="L318" s="28">
        <f t="shared" ca="1" si="20"/>
        <v>9503.48</v>
      </c>
    </row>
    <row r="319" spans="2:12" x14ac:dyDescent="0.25">
      <c r="B319" s="38"/>
      <c r="C319" s="45"/>
      <c r="D319" s="35"/>
      <c r="F319" s="40"/>
      <c r="G319" s="41"/>
      <c r="H319" s="41"/>
      <c r="I319" s="42"/>
      <c r="J319" s="41"/>
      <c r="K319" s="40"/>
      <c r="L319" s="28">
        <f t="shared" ca="1" si="20"/>
        <v>9503.48</v>
      </c>
    </row>
    <row r="320" spans="2:12" x14ac:dyDescent="0.25">
      <c r="B320" s="38"/>
      <c r="C320" s="45"/>
      <c r="D320" s="35"/>
      <c r="F320" s="38"/>
      <c r="G320" s="41"/>
      <c r="H320" s="41"/>
      <c r="I320" s="42"/>
      <c r="J320" s="41"/>
      <c r="K320" s="40"/>
      <c r="L320" s="28">
        <f t="shared" ca="1" si="20"/>
        <v>9503.48</v>
      </c>
    </row>
    <row r="321" spans="2:12" x14ac:dyDescent="0.25">
      <c r="B321" s="38"/>
      <c r="C321" s="45"/>
      <c r="D321" s="35"/>
      <c r="F321" s="38"/>
      <c r="G321" s="41"/>
      <c r="H321" s="41"/>
      <c r="I321" s="42"/>
      <c r="J321" s="41"/>
      <c r="K321" s="40"/>
      <c r="L321" s="28">
        <f t="shared" ca="1" si="20"/>
        <v>9503.48</v>
      </c>
    </row>
    <row r="322" spans="2:12" x14ac:dyDescent="0.25">
      <c r="B322" s="38"/>
      <c r="C322" s="45"/>
      <c r="D322" s="35"/>
      <c r="F322" s="38"/>
      <c r="G322" s="41"/>
      <c r="H322" s="41"/>
      <c r="I322" s="42"/>
      <c r="J322" s="41"/>
      <c r="K322" s="40"/>
      <c r="L322" s="28">
        <f t="shared" ca="1" si="20"/>
        <v>9503.48</v>
      </c>
    </row>
    <row r="323" spans="2:12" x14ac:dyDescent="0.25">
      <c r="B323" s="38"/>
      <c r="C323" s="45"/>
      <c r="D323" s="35"/>
      <c r="F323" s="38"/>
      <c r="G323" s="41"/>
      <c r="H323" s="41"/>
      <c r="I323" s="42"/>
      <c r="J323" s="41"/>
      <c r="K323" s="40"/>
      <c r="L323" s="28">
        <f t="shared" ca="1" si="20"/>
        <v>9503.48</v>
      </c>
    </row>
    <row r="324" spans="2:12" x14ac:dyDescent="0.25">
      <c r="B324" s="38"/>
      <c r="C324" s="43"/>
      <c r="D324" s="35"/>
      <c r="F324" s="40"/>
      <c r="G324" s="41"/>
      <c r="H324" s="41"/>
      <c r="I324" s="42"/>
      <c r="J324" s="41"/>
      <c r="K324" s="40"/>
      <c r="L324" s="28">
        <f t="shared" ca="1" si="20"/>
        <v>9503.48</v>
      </c>
    </row>
    <row r="325" spans="2:12" x14ac:dyDescent="0.25">
      <c r="B325" s="38"/>
      <c r="C325" s="43"/>
      <c r="D325" s="35"/>
      <c r="F325" s="40"/>
      <c r="G325" s="41"/>
      <c r="H325" s="41"/>
      <c r="I325" s="42"/>
      <c r="J325" s="41"/>
      <c r="K325" s="40"/>
      <c r="L325" s="28">
        <f t="shared" ca="1" si="20"/>
        <v>9503.48</v>
      </c>
    </row>
    <row r="326" spans="2:12" x14ac:dyDescent="0.25">
      <c r="B326" s="38"/>
      <c r="C326" s="43"/>
      <c r="D326" s="35"/>
      <c r="F326" s="38"/>
      <c r="G326" s="41"/>
      <c r="H326" s="41"/>
      <c r="I326" s="42"/>
      <c r="J326" s="41"/>
      <c r="K326" s="40"/>
      <c r="L326" s="28">
        <f t="shared" ca="1" si="20"/>
        <v>9503.48</v>
      </c>
    </row>
    <row r="327" spans="2:12" x14ac:dyDescent="0.25">
      <c r="B327" s="38"/>
      <c r="C327" s="43"/>
      <c r="D327" s="35"/>
      <c r="F327" s="40"/>
      <c r="G327" s="41"/>
      <c r="H327" s="41"/>
      <c r="I327" s="42"/>
      <c r="J327" s="41"/>
      <c r="K327" s="40"/>
      <c r="L327" s="28">
        <f t="shared" ca="1" si="20"/>
        <v>9503.48</v>
      </c>
    </row>
    <row r="328" spans="2:12" x14ac:dyDescent="0.25">
      <c r="B328" s="38"/>
      <c r="C328" s="43"/>
      <c r="D328" s="29"/>
      <c r="F328" s="40"/>
      <c r="G328" s="41"/>
      <c r="H328" s="41"/>
      <c r="I328" s="42"/>
      <c r="J328" s="41"/>
      <c r="K328" s="40"/>
      <c r="L328" s="28">
        <f t="shared" ca="1" si="20"/>
        <v>9503.48</v>
      </c>
    </row>
    <row r="329" spans="2:12" x14ac:dyDescent="0.25">
      <c r="B329" s="38"/>
      <c r="C329" s="43"/>
      <c r="D329" s="29"/>
      <c r="F329" s="40"/>
      <c r="G329" s="41"/>
      <c r="H329" s="41"/>
      <c r="I329" s="42"/>
      <c r="J329" s="41"/>
      <c r="K329" s="40"/>
      <c r="L329" s="28">
        <f t="shared" ca="1" si="20"/>
        <v>9503.48</v>
      </c>
    </row>
    <row r="330" spans="2:12" x14ac:dyDescent="0.25">
      <c r="B330" s="38"/>
      <c r="C330" s="43"/>
      <c r="D330" s="29"/>
      <c r="F330" s="38"/>
      <c r="G330" s="41"/>
      <c r="H330" s="41"/>
      <c r="I330" s="42"/>
      <c r="J330" s="41"/>
      <c r="K330" s="40"/>
      <c r="L330" s="28">
        <f t="shared" ca="1" si="20"/>
        <v>9503.48</v>
      </c>
    </row>
    <row r="331" spans="2:12" x14ac:dyDescent="0.25">
      <c r="B331" s="38"/>
      <c r="C331" s="43"/>
      <c r="D331" s="29"/>
      <c r="F331" s="38"/>
      <c r="G331" s="41"/>
      <c r="H331" s="41"/>
      <c r="I331" s="42"/>
      <c r="J331" s="41"/>
      <c r="K331" s="40"/>
      <c r="L331" s="28">
        <f t="shared" ca="1" si="20"/>
        <v>9503.48</v>
      </c>
    </row>
    <row r="332" spans="2:12" x14ac:dyDescent="0.25">
      <c r="B332" s="38"/>
      <c r="C332" s="43"/>
      <c r="D332" s="29"/>
      <c r="F332" s="38"/>
      <c r="G332" s="41"/>
      <c r="H332" s="41"/>
      <c r="I332" s="42"/>
      <c r="J332" s="41"/>
      <c r="K332" s="40"/>
      <c r="L332" s="28">
        <f t="shared" ca="1" si="20"/>
        <v>9503.48</v>
      </c>
    </row>
    <row r="333" spans="2:12" x14ac:dyDescent="0.25">
      <c r="B333" s="38"/>
      <c r="C333" s="43"/>
      <c r="D333" s="29"/>
      <c r="F333" s="38"/>
      <c r="G333" s="41"/>
      <c r="H333" s="41"/>
      <c r="I333" s="42"/>
      <c r="J333" s="41"/>
      <c r="K333" s="40"/>
      <c r="L333" s="28">
        <f t="shared" ca="1" si="20"/>
        <v>9503.48</v>
      </c>
    </row>
    <row r="334" spans="2:12" x14ac:dyDescent="0.25">
      <c r="B334" s="38"/>
      <c r="C334" s="43"/>
      <c r="D334" s="29"/>
      <c r="F334" s="38"/>
      <c r="G334" s="41"/>
      <c r="H334" s="41"/>
      <c r="I334" s="42"/>
      <c r="J334" s="41"/>
      <c r="K334" s="40"/>
      <c r="L334" s="28">
        <f t="shared" ca="1" si="20"/>
        <v>9503.48</v>
      </c>
    </row>
    <row r="335" spans="2:12" x14ac:dyDescent="0.25">
      <c r="B335" s="38"/>
      <c r="C335" s="43"/>
      <c r="D335" s="29"/>
      <c r="F335" s="40"/>
      <c r="G335" s="41"/>
      <c r="H335" s="41"/>
      <c r="I335" s="42"/>
      <c r="J335" s="41"/>
      <c r="K335" s="40"/>
      <c r="L335" s="28">
        <f t="shared" ca="1" si="20"/>
        <v>9503.48</v>
      </c>
    </row>
    <row r="336" spans="2:12" x14ac:dyDescent="0.25">
      <c r="B336" s="38"/>
      <c r="C336" s="43"/>
      <c r="D336" s="29"/>
      <c r="F336" s="40"/>
      <c r="G336" s="41"/>
      <c r="H336" s="41"/>
      <c r="I336" s="42"/>
      <c r="J336" s="41"/>
      <c r="K336" s="40"/>
      <c r="L336" s="28">
        <f t="shared" ca="1" si="20"/>
        <v>9503.48</v>
      </c>
    </row>
    <row r="337" spans="2:12" x14ac:dyDescent="0.25">
      <c r="B337" s="38"/>
      <c r="C337" s="45"/>
      <c r="D337" s="29"/>
      <c r="F337" s="38"/>
      <c r="G337" s="41"/>
      <c r="H337" s="41"/>
      <c r="I337" s="42"/>
      <c r="J337" s="41"/>
      <c r="K337" s="40"/>
      <c r="L337" s="28">
        <f t="shared" ca="1" si="20"/>
        <v>9503.48</v>
      </c>
    </row>
    <row r="338" spans="2:12" x14ac:dyDescent="0.25">
      <c r="B338" s="47"/>
      <c r="C338" s="48"/>
      <c r="D338" s="52">
        <f>SUBTOTAL(109,Junio_2024[INGRESO])</f>
        <v>43615</v>
      </c>
      <c r="E338" s="52">
        <f>SUBTOTAL(109,Junio_2024[EGRESO])</f>
        <v>34111.519999999997</v>
      </c>
      <c r="F338" s="49"/>
      <c r="G338" s="50"/>
      <c r="H338" s="50"/>
      <c r="I338" s="51"/>
      <c r="J338" s="50"/>
      <c r="K338" s="49"/>
      <c r="L338" s="53"/>
    </row>
    <row r="339" spans="2:12" x14ac:dyDescent="0.25">
      <c r="D339" s="35"/>
    </row>
    <row r="340" spans="2:12" x14ac:dyDescent="0.25">
      <c r="B340" s="76" t="s">
        <v>126</v>
      </c>
      <c r="C340" s="77"/>
      <c r="D340" s="77"/>
      <c r="E340" s="77"/>
      <c r="F340" s="77"/>
      <c r="G340" s="77"/>
      <c r="H340" s="77"/>
      <c r="I340" s="77"/>
      <c r="J340" s="77"/>
      <c r="K340" s="77"/>
      <c r="L340" s="77"/>
    </row>
    <row r="341" spans="2:12" x14ac:dyDescent="0.25">
      <c r="B341" s="36" t="s">
        <v>16</v>
      </c>
      <c r="C341" s="37" t="s">
        <v>17</v>
      </c>
      <c r="D341" s="46" t="s">
        <v>73</v>
      </c>
      <c r="E341" s="46" t="s">
        <v>74</v>
      </c>
      <c r="F341" s="37" t="s">
        <v>54</v>
      </c>
      <c r="G341" s="37" t="s">
        <v>76</v>
      </c>
      <c r="H341" s="37" t="s">
        <v>77</v>
      </c>
      <c r="I341" s="37" t="s">
        <v>75</v>
      </c>
      <c r="J341" s="37" t="s">
        <v>18</v>
      </c>
      <c r="K341" s="37" t="s">
        <v>64</v>
      </c>
      <c r="L341" s="37" t="s">
        <v>19</v>
      </c>
    </row>
    <row r="342" spans="2:12" x14ac:dyDescent="0.25">
      <c r="B342" s="68" t="s">
        <v>191</v>
      </c>
      <c r="C342" s="44">
        <v>45839</v>
      </c>
      <c r="D342" s="60"/>
      <c r="E342" s="35">
        <v>1566</v>
      </c>
      <c r="F342" s="68" t="s">
        <v>309</v>
      </c>
      <c r="G342" s="41" t="s">
        <v>107</v>
      </c>
      <c r="H342" s="41" t="s">
        <v>78</v>
      </c>
      <c r="I342" s="42" t="s">
        <v>366</v>
      </c>
      <c r="J342" s="41" t="s">
        <v>367</v>
      </c>
      <c r="K342" s="40"/>
      <c r="L342" s="71">
        <f ca="1">IF(ISERROR(OFFSET(L342,-1,0,1,1)+D342-E342),D342-E342,OFFSET(L342,-1,0,1,1)+D342-E342)</f>
        <v>-1566</v>
      </c>
    </row>
    <row r="343" spans="2:12" x14ac:dyDescent="0.25">
      <c r="B343" s="68" t="s">
        <v>22</v>
      </c>
      <c r="C343" s="44">
        <v>45843</v>
      </c>
      <c r="D343" s="60"/>
      <c r="E343" s="35">
        <v>4500</v>
      </c>
      <c r="F343" s="67" t="s">
        <v>171</v>
      </c>
      <c r="G343" s="41" t="s">
        <v>80</v>
      </c>
      <c r="H343" s="41" t="s">
        <v>108</v>
      </c>
      <c r="I343" s="69"/>
      <c r="J343" s="41" t="s">
        <v>65</v>
      </c>
      <c r="K343" s="40"/>
      <c r="L343" s="28">
        <f t="shared" ref="L343:L348" ca="1" si="21">IF(ISERROR(OFFSET(L343,-1,0,1,1)+D343-E343),D343-E343,OFFSET(L343,-1,0,1,1)+D343-E343)</f>
        <v>-6066</v>
      </c>
    </row>
    <row r="344" spans="2:12" x14ac:dyDescent="0.25">
      <c r="B344" s="68" t="s">
        <v>22</v>
      </c>
      <c r="C344" s="44">
        <v>45843</v>
      </c>
      <c r="D344" s="60"/>
      <c r="E344" s="35">
        <v>1837.5</v>
      </c>
      <c r="F344" s="67" t="s">
        <v>171</v>
      </c>
      <c r="G344" s="41" t="s">
        <v>80</v>
      </c>
      <c r="H344" s="41" t="s">
        <v>108</v>
      </c>
      <c r="I344" s="42" t="s">
        <v>363</v>
      </c>
      <c r="J344" s="41" t="s">
        <v>37</v>
      </c>
      <c r="K344" s="40"/>
      <c r="L344" s="28">
        <f ca="1">IF(ISERROR(OFFSET(L344,-1,0,1,1)+D344-E344),D344-E344,OFFSET(L344,-1,0,1,1)+D344-E344)</f>
        <v>-7903.5</v>
      </c>
    </row>
    <row r="345" spans="2:12" x14ac:dyDescent="0.25">
      <c r="B345" s="68" t="s">
        <v>22</v>
      </c>
      <c r="C345" s="44">
        <v>45843</v>
      </c>
      <c r="D345" s="60"/>
      <c r="E345" s="35">
        <v>3500</v>
      </c>
      <c r="F345" s="67" t="s">
        <v>172</v>
      </c>
      <c r="G345" s="41" t="s">
        <v>80</v>
      </c>
      <c r="H345" s="41" t="s">
        <v>108</v>
      </c>
      <c r="I345" s="69"/>
      <c r="J345" s="41" t="s">
        <v>65</v>
      </c>
      <c r="K345" s="40"/>
      <c r="L345" s="28">
        <f t="shared" ca="1" si="21"/>
        <v>-11403.5</v>
      </c>
    </row>
    <row r="346" spans="2:12" x14ac:dyDescent="0.25">
      <c r="B346" s="68" t="s">
        <v>22</v>
      </c>
      <c r="C346" s="44">
        <v>45843</v>
      </c>
      <c r="D346" s="60"/>
      <c r="E346" s="35">
        <v>400</v>
      </c>
      <c r="F346" s="67" t="s">
        <v>172</v>
      </c>
      <c r="G346" s="41" t="s">
        <v>80</v>
      </c>
      <c r="H346" s="41" t="s">
        <v>135</v>
      </c>
      <c r="I346" s="69"/>
      <c r="J346" s="41" t="s">
        <v>48</v>
      </c>
      <c r="K346" s="40"/>
      <c r="L346" s="28">
        <f t="shared" ca="1" si="21"/>
        <v>-11803.5</v>
      </c>
    </row>
    <row r="347" spans="2:12" x14ac:dyDescent="0.25">
      <c r="B347" s="68" t="s">
        <v>22</v>
      </c>
      <c r="C347" s="44">
        <v>45843</v>
      </c>
      <c r="D347" s="60"/>
      <c r="E347" s="35">
        <v>1400</v>
      </c>
      <c r="F347" s="67" t="s">
        <v>173</v>
      </c>
      <c r="G347" s="41" t="s">
        <v>80</v>
      </c>
      <c r="H347" s="41" t="s">
        <v>108</v>
      </c>
      <c r="I347" s="69"/>
      <c r="J347" s="41" t="s">
        <v>65</v>
      </c>
      <c r="K347" s="40"/>
      <c r="L347" s="28">
        <f t="shared" ca="1" si="21"/>
        <v>-13203.5</v>
      </c>
    </row>
    <row r="348" spans="2:12" x14ac:dyDescent="0.25">
      <c r="B348" s="68" t="s">
        <v>22</v>
      </c>
      <c r="C348" s="44">
        <v>45843</v>
      </c>
      <c r="D348" s="60"/>
      <c r="E348" s="35">
        <v>400</v>
      </c>
      <c r="F348" s="67" t="s">
        <v>173</v>
      </c>
      <c r="G348" s="41" t="s">
        <v>80</v>
      </c>
      <c r="H348" s="41" t="s">
        <v>135</v>
      </c>
      <c r="I348" s="42"/>
      <c r="J348" s="41" t="s">
        <v>48</v>
      </c>
      <c r="K348" s="40"/>
      <c r="L348" s="28">
        <f t="shared" ca="1" si="21"/>
        <v>-13603.5</v>
      </c>
    </row>
    <row r="349" spans="2:12" x14ac:dyDescent="0.25">
      <c r="B349" s="68" t="s">
        <v>22</v>
      </c>
      <c r="C349" s="44">
        <v>45843</v>
      </c>
      <c r="D349" s="60"/>
      <c r="E349" s="35">
        <v>800</v>
      </c>
      <c r="F349" s="67" t="s">
        <v>79</v>
      </c>
      <c r="G349" s="41" t="s">
        <v>80</v>
      </c>
      <c r="H349" s="41" t="s">
        <v>108</v>
      </c>
      <c r="I349" s="69"/>
      <c r="J349" s="41" t="s">
        <v>65</v>
      </c>
      <c r="K349" s="40"/>
      <c r="L349" s="28">
        <f ca="1">IF(ISERROR(OFFSET(L349,-1,0,1,1)+D349-E349),D349-E349,OFFSET(L349,-1,0,1,1)+D349-E349)</f>
        <v>-14403.5</v>
      </c>
    </row>
    <row r="350" spans="2:12" x14ac:dyDescent="0.25">
      <c r="B350" s="68" t="s">
        <v>22</v>
      </c>
      <c r="C350" s="44">
        <v>45843</v>
      </c>
      <c r="D350" s="60"/>
      <c r="E350" s="35">
        <v>400</v>
      </c>
      <c r="F350" s="67" t="s">
        <v>79</v>
      </c>
      <c r="G350" s="41" t="s">
        <v>80</v>
      </c>
      <c r="H350" s="41" t="s">
        <v>135</v>
      </c>
      <c r="I350" s="69"/>
      <c r="J350" s="41" t="s">
        <v>48</v>
      </c>
      <c r="K350" s="40"/>
      <c r="L350" s="28">
        <f ca="1">IF(ISERROR(OFFSET(L350,-1,0,1,1)+D350-E350),D350-E350,OFFSET(L350,-1,0,1,1)+D350-E350)</f>
        <v>-14803.5</v>
      </c>
    </row>
    <row r="351" spans="2:12" x14ac:dyDescent="0.25">
      <c r="B351" s="68" t="s">
        <v>22</v>
      </c>
      <c r="C351" s="44">
        <v>45843</v>
      </c>
      <c r="D351" s="60"/>
      <c r="E351" s="35">
        <v>2050</v>
      </c>
      <c r="F351" s="67" t="s">
        <v>98</v>
      </c>
      <c r="G351" s="41" t="s">
        <v>80</v>
      </c>
      <c r="H351" s="41" t="s">
        <v>108</v>
      </c>
      <c r="I351" s="42"/>
      <c r="J351" s="41" t="s">
        <v>65</v>
      </c>
      <c r="K351" s="40"/>
      <c r="L351" s="28">
        <f ca="1">IF(ISERROR(OFFSET(L351,-1,0,1,1)+D351-E351),D351-E351,OFFSET(L351,-1,0,1,1)+D351-E351)</f>
        <v>-16853.5</v>
      </c>
    </row>
    <row r="352" spans="2:12" x14ac:dyDescent="0.25">
      <c r="B352" s="68" t="s">
        <v>22</v>
      </c>
      <c r="C352" s="44">
        <v>45843</v>
      </c>
      <c r="D352" s="60"/>
      <c r="E352" s="35">
        <v>400</v>
      </c>
      <c r="F352" s="67" t="s">
        <v>98</v>
      </c>
      <c r="G352" s="41" t="s">
        <v>80</v>
      </c>
      <c r="H352" s="41" t="s">
        <v>135</v>
      </c>
      <c r="I352" s="42"/>
      <c r="J352" s="41" t="s">
        <v>48</v>
      </c>
      <c r="K352" s="40"/>
      <c r="L352" s="28">
        <f ca="1">IF(ISERROR(OFFSET(L352,-1,0,1,1)+D352-E352),D352-E352,OFFSET(L352,-1,0,1,1)+D352-E352)</f>
        <v>-17253.5</v>
      </c>
    </row>
    <row r="353" spans="2:12" x14ac:dyDescent="0.25">
      <c r="B353" s="68" t="s">
        <v>22</v>
      </c>
      <c r="C353" s="44">
        <v>45845</v>
      </c>
      <c r="D353" s="35">
        <v>9600</v>
      </c>
      <c r="F353" s="67" t="s">
        <v>273</v>
      </c>
      <c r="G353" s="41" t="s">
        <v>80</v>
      </c>
      <c r="H353" s="41" t="s">
        <v>355</v>
      </c>
      <c r="I353" s="42" t="s">
        <v>380</v>
      </c>
      <c r="J353" s="41" t="s">
        <v>99</v>
      </c>
      <c r="K353" s="40"/>
      <c r="L353" s="28">
        <f ca="1">IF(ISERROR(OFFSET(L353,-1,0,1,1)+D353-E353),D353-E353,OFFSET(L353,-1,0,1,1)+D353-E353)</f>
        <v>-7653.5</v>
      </c>
    </row>
    <row r="354" spans="2:12" x14ac:dyDescent="0.25">
      <c r="B354" s="68" t="s">
        <v>23</v>
      </c>
      <c r="C354" s="44">
        <v>45845</v>
      </c>
      <c r="D354" s="35">
        <v>3000</v>
      </c>
      <c r="F354" s="67" t="s">
        <v>354</v>
      </c>
      <c r="G354" s="41" t="s">
        <v>80</v>
      </c>
      <c r="H354" s="41" t="s">
        <v>358</v>
      </c>
      <c r="I354" s="42" t="s">
        <v>381</v>
      </c>
      <c r="J354" s="41" t="s">
        <v>99</v>
      </c>
      <c r="K354" s="41"/>
      <c r="L354" s="28">
        <f t="shared" ref="L354:L400" ca="1" si="22">IF(ISERROR(OFFSET(L354,-1,0,1,1)+D354-E354),D354-E354,OFFSET(L354,-1,0,1,1)+D354-E354)</f>
        <v>-4653.5</v>
      </c>
    </row>
    <row r="355" spans="2:12" x14ac:dyDescent="0.25">
      <c r="B355" s="68" t="s">
        <v>22</v>
      </c>
      <c r="C355" s="44">
        <v>45847</v>
      </c>
      <c r="D355" s="35">
        <v>47500</v>
      </c>
      <c r="F355" s="67" t="s">
        <v>356</v>
      </c>
      <c r="G355" s="41" t="s">
        <v>357</v>
      </c>
      <c r="H355" s="41" t="s">
        <v>365</v>
      </c>
      <c r="I355" s="42" t="s">
        <v>359</v>
      </c>
      <c r="J355" s="41" t="s">
        <v>99</v>
      </c>
      <c r="K355" s="40"/>
      <c r="L355" s="28">
        <f t="shared" ca="1" si="22"/>
        <v>42846.5</v>
      </c>
    </row>
    <row r="356" spans="2:12" x14ac:dyDescent="0.25">
      <c r="B356" s="68" t="s">
        <v>22</v>
      </c>
      <c r="C356" s="44">
        <v>45847</v>
      </c>
      <c r="D356" s="35"/>
      <c r="E356" s="35">
        <v>1464.18</v>
      </c>
      <c r="F356" s="67" t="s">
        <v>347</v>
      </c>
      <c r="G356" s="41" t="s">
        <v>80</v>
      </c>
      <c r="H356" s="41" t="s">
        <v>360</v>
      </c>
      <c r="I356" s="42" t="s">
        <v>361</v>
      </c>
      <c r="J356" s="41" t="s">
        <v>12</v>
      </c>
      <c r="K356" s="40"/>
      <c r="L356" s="28">
        <f t="shared" ca="1" si="22"/>
        <v>41382.32</v>
      </c>
    </row>
    <row r="357" spans="2:12" x14ac:dyDescent="0.25">
      <c r="B357" s="68" t="s">
        <v>22</v>
      </c>
      <c r="C357" s="44">
        <v>45847</v>
      </c>
      <c r="D357" s="35"/>
      <c r="E357" s="35">
        <v>115</v>
      </c>
      <c r="F357" s="67" t="s">
        <v>347</v>
      </c>
      <c r="G357" s="41" t="s">
        <v>80</v>
      </c>
      <c r="H357" s="41" t="s">
        <v>360</v>
      </c>
      <c r="I357" s="42" t="s">
        <v>362</v>
      </c>
      <c r="J357" s="41" t="s">
        <v>68</v>
      </c>
      <c r="K357" s="40"/>
      <c r="L357" s="28">
        <f t="shared" ca="1" si="22"/>
        <v>41267.32</v>
      </c>
    </row>
    <row r="358" spans="2:12" x14ac:dyDescent="0.25">
      <c r="B358" s="68" t="s">
        <v>22</v>
      </c>
      <c r="C358" s="44">
        <v>45847</v>
      </c>
      <c r="D358" s="35"/>
      <c r="E358" s="35">
        <v>6217.5</v>
      </c>
      <c r="F358" s="67" t="s">
        <v>195</v>
      </c>
      <c r="G358" s="41" t="s">
        <v>80</v>
      </c>
      <c r="H358" s="41" t="s">
        <v>78</v>
      </c>
      <c r="I358" s="69" t="s">
        <v>190</v>
      </c>
      <c r="J358" s="41" t="s">
        <v>103</v>
      </c>
      <c r="K358" s="40"/>
      <c r="L358" s="28">
        <f t="shared" ca="1" si="22"/>
        <v>35049.82</v>
      </c>
    </row>
    <row r="359" spans="2:12" x14ac:dyDescent="0.25">
      <c r="B359" s="68" t="s">
        <v>22</v>
      </c>
      <c r="C359" s="44">
        <v>45848</v>
      </c>
      <c r="D359" s="35">
        <v>4800</v>
      </c>
      <c r="F359" s="67" t="s">
        <v>364</v>
      </c>
      <c r="G359" s="41" t="s">
        <v>80</v>
      </c>
      <c r="H359" s="41" t="s">
        <v>369</v>
      </c>
      <c r="I359" s="42" t="s">
        <v>353</v>
      </c>
      <c r="J359" s="41" t="s">
        <v>99</v>
      </c>
      <c r="K359" s="40"/>
      <c r="L359" s="28">
        <f t="shared" ca="1" si="22"/>
        <v>39849.82</v>
      </c>
    </row>
    <row r="360" spans="2:12" x14ac:dyDescent="0.25">
      <c r="B360" s="68" t="s">
        <v>23</v>
      </c>
      <c r="C360" s="43">
        <v>45850</v>
      </c>
      <c r="D360" s="35">
        <v>120</v>
      </c>
      <c r="F360" s="67" t="s">
        <v>382</v>
      </c>
      <c r="G360" s="41" t="s">
        <v>80</v>
      </c>
      <c r="H360" s="41" t="s">
        <v>383</v>
      </c>
      <c r="I360" s="42" t="s">
        <v>384</v>
      </c>
      <c r="J360" s="41" t="s">
        <v>99</v>
      </c>
      <c r="K360" s="40"/>
      <c r="L360" s="28">
        <f ca="1">IF(ISERROR(OFFSET(L360,-1,0,1,1)+D360-E360),D360-E360,OFFSET(L360,-1,0,1,1)+D360-E360)</f>
        <v>39969.82</v>
      </c>
    </row>
    <row r="361" spans="2:12" x14ac:dyDescent="0.25">
      <c r="B361" s="68" t="s">
        <v>22</v>
      </c>
      <c r="C361" s="43">
        <v>45852</v>
      </c>
      <c r="D361" s="35"/>
      <c r="E361" s="35">
        <v>2200</v>
      </c>
      <c r="F361" s="67" t="s">
        <v>309</v>
      </c>
      <c r="G361" s="41" t="s">
        <v>80</v>
      </c>
      <c r="H361" s="41" t="s">
        <v>78</v>
      </c>
      <c r="I361" s="42" t="s">
        <v>266</v>
      </c>
      <c r="J361" s="41" t="s">
        <v>103</v>
      </c>
      <c r="K361" s="40"/>
      <c r="L361" s="28">
        <f t="shared" ca="1" si="22"/>
        <v>37769.82</v>
      </c>
    </row>
    <row r="362" spans="2:12" x14ac:dyDescent="0.25">
      <c r="B362" s="68" t="s">
        <v>22</v>
      </c>
      <c r="C362" s="43">
        <v>45853</v>
      </c>
      <c r="D362" s="35">
        <v>2400</v>
      </c>
      <c r="F362" s="67" t="s">
        <v>368</v>
      </c>
      <c r="G362" s="41" t="s">
        <v>80</v>
      </c>
      <c r="H362" s="41" t="s">
        <v>385</v>
      </c>
      <c r="I362" s="42" t="s">
        <v>370</v>
      </c>
      <c r="J362" s="41" t="s">
        <v>99</v>
      </c>
      <c r="K362" s="40"/>
      <c r="L362" s="28">
        <f t="shared" ca="1" si="22"/>
        <v>40169.82</v>
      </c>
    </row>
    <row r="363" spans="2:12" x14ac:dyDescent="0.25">
      <c r="B363" s="68" t="s">
        <v>23</v>
      </c>
      <c r="C363" s="44">
        <v>45856</v>
      </c>
      <c r="D363" s="35">
        <v>240</v>
      </c>
      <c r="F363" s="67" t="s">
        <v>382</v>
      </c>
      <c r="G363" s="41" t="s">
        <v>80</v>
      </c>
      <c r="H363" s="41" t="s">
        <v>386</v>
      </c>
      <c r="I363" s="42" t="s">
        <v>387</v>
      </c>
      <c r="J363" s="41" t="s">
        <v>99</v>
      </c>
      <c r="K363" s="40"/>
      <c r="L363" s="28">
        <f ca="1">IF(ISERROR(OFFSET(L363,-1,0,1,1)+D363-E363),D363-E363,OFFSET(L363,-1,0,1,1)+D363-E363)</f>
        <v>40409.82</v>
      </c>
    </row>
    <row r="364" spans="2:12" x14ac:dyDescent="0.25">
      <c r="B364" s="61" t="s">
        <v>23</v>
      </c>
      <c r="C364" s="44">
        <v>45857</v>
      </c>
      <c r="D364" s="35"/>
      <c r="E364" s="62">
        <v>400</v>
      </c>
      <c r="F364" s="67" t="s">
        <v>371</v>
      </c>
      <c r="G364" s="41" t="s">
        <v>80</v>
      </c>
      <c r="H364" s="41" t="s">
        <v>78</v>
      </c>
      <c r="I364" s="63" t="s">
        <v>372</v>
      </c>
      <c r="J364" s="41" t="s">
        <v>35</v>
      </c>
      <c r="K364" s="40"/>
      <c r="L364" s="28">
        <f t="shared" ca="1" si="22"/>
        <v>40009.82</v>
      </c>
    </row>
    <row r="365" spans="2:12" x14ac:dyDescent="0.25">
      <c r="B365" s="68" t="s">
        <v>22</v>
      </c>
      <c r="C365" s="44">
        <v>45857</v>
      </c>
      <c r="D365" s="35"/>
      <c r="E365" s="35">
        <v>4500</v>
      </c>
      <c r="F365" s="67" t="s">
        <v>171</v>
      </c>
      <c r="G365" s="41" t="s">
        <v>80</v>
      </c>
      <c r="H365" s="41" t="s">
        <v>108</v>
      </c>
      <c r="I365" s="69"/>
      <c r="J365" s="41" t="s">
        <v>65</v>
      </c>
      <c r="K365" s="40"/>
      <c r="L365" s="28">
        <f t="shared" ref="L365:L373" ca="1" si="23">IF(ISERROR(OFFSET(L365,-1,0,1,1)+D365-E365),D365-E365,OFFSET(L365,-1,0,1,1)+D365-E365)</f>
        <v>35509.82</v>
      </c>
    </row>
    <row r="366" spans="2:12" x14ac:dyDescent="0.25">
      <c r="B366" s="68" t="s">
        <v>22</v>
      </c>
      <c r="C366" s="44">
        <v>45857</v>
      </c>
      <c r="D366" s="35"/>
      <c r="E366" s="35">
        <v>3500</v>
      </c>
      <c r="F366" s="67" t="s">
        <v>172</v>
      </c>
      <c r="G366" s="41" t="s">
        <v>80</v>
      </c>
      <c r="H366" s="41" t="s">
        <v>108</v>
      </c>
      <c r="I366" s="69"/>
      <c r="J366" s="41" t="s">
        <v>65</v>
      </c>
      <c r="K366" s="40"/>
      <c r="L366" s="28">
        <f t="shared" ca="1" si="23"/>
        <v>32009.82</v>
      </c>
    </row>
    <row r="367" spans="2:12" x14ac:dyDescent="0.25">
      <c r="B367" s="68" t="s">
        <v>22</v>
      </c>
      <c r="C367" s="44">
        <v>45857</v>
      </c>
      <c r="D367" s="35"/>
      <c r="E367" s="35">
        <v>400</v>
      </c>
      <c r="F367" s="67" t="s">
        <v>172</v>
      </c>
      <c r="G367" s="41" t="s">
        <v>80</v>
      </c>
      <c r="H367" s="41" t="s">
        <v>135</v>
      </c>
      <c r="I367" s="69"/>
      <c r="J367" s="41" t="s">
        <v>48</v>
      </c>
      <c r="K367" s="40"/>
      <c r="L367" s="28">
        <f t="shared" ca="1" si="23"/>
        <v>31609.82</v>
      </c>
    </row>
    <row r="368" spans="2:12" x14ac:dyDescent="0.25">
      <c r="B368" s="68" t="s">
        <v>22</v>
      </c>
      <c r="C368" s="44">
        <v>45857</v>
      </c>
      <c r="D368" s="35"/>
      <c r="E368" s="35">
        <v>2000</v>
      </c>
      <c r="F368" s="67" t="s">
        <v>173</v>
      </c>
      <c r="G368" s="41" t="s">
        <v>80</v>
      </c>
      <c r="H368" s="41" t="s">
        <v>108</v>
      </c>
      <c r="I368" s="69"/>
      <c r="J368" s="41" t="s">
        <v>65</v>
      </c>
      <c r="K368" s="40"/>
      <c r="L368" s="28">
        <f t="shared" ca="1" si="23"/>
        <v>29609.82</v>
      </c>
    </row>
    <row r="369" spans="2:12" x14ac:dyDescent="0.25">
      <c r="B369" s="68" t="s">
        <v>22</v>
      </c>
      <c r="C369" s="44">
        <v>45857</v>
      </c>
      <c r="D369" s="35"/>
      <c r="E369" s="35">
        <v>400</v>
      </c>
      <c r="F369" s="67" t="s">
        <v>173</v>
      </c>
      <c r="G369" s="41" t="s">
        <v>80</v>
      </c>
      <c r="H369" s="41" t="s">
        <v>135</v>
      </c>
      <c r="I369" s="42"/>
      <c r="J369" s="41" t="s">
        <v>48</v>
      </c>
      <c r="K369" s="40"/>
      <c r="L369" s="28">
        <f t="shared" ca="1" si="23"/>
        <v>29209.82</v>
      </c>
    </row>
    <row r="370" spans="2:12" x14ac:dyDescent="0.25">
      <c r="B370" s="68" t="s">
        <v>22</v>
      </c>
      <c r="C370" s="44">
        <v>45857</v>
      </c>
      <c r="D370" s="35"/>
      <c r="E370" s="35">
        <v>800</v>
      </c>
      <c r="F370" s="67" t="s">
        <v>79</v>
      </c>
      <c r="G370" s="41" t="s">
        <v>80</v>
      </c>
      <c r="H370" s="41" t="s">
        <v>108</v>
      </c>
      <c r="I370" s="69"/>
      <c r="J370" s="41" t="s">
        <v>65</v>
      </c>
      <c r="K370" s="40"/>
      <c r="L370" s="28">
        <f t="shared" ca="1" si="23"/>
        <v>28409.82</v>
      </c>
    </row>
    <row r="371" spans="2:12" x14ac:dyDescent="0.25">
      <c r="B371" s="68" t="s">
        <v>22</v>
      </c>
      <c r="C371" s="44">
        <v>45857</v>
      </c>
      <c r="D371" s="35"/>
      <c r="E371" s="35">
        <v>400</v>
      </c>
      <c r="F371" s="67" t="s">
        <v>79</v>
      </c>
      <c r="G371" s="41" t="s">
        <v>80</v>
      </c>
      <c r="H371" s="41" t="s">
        <v>135</v>
      </c>
      <c r="I371" s="69"/>
      <c r="J371" s="41" t="s">
        <v>48</v>
      </c>
      <c r="K371" s="40"/>
      <c r="L371" s="28">
        <f t="shared" ca="1" si="23"/>
        <v>28009.82</v>
      </c>
    </row>
    <row r="372" spans="2:12" x14ac:dyDescent="0.25">
      <c r="B372" s="68" t="s">
        <v>22</v>
      </c>
      <c r="C372" s="44">
        <v>45857</v>
      </c>
      <c r="D372" s="35"/>
      <c r="E372" s="35">
        <v>2050</v>
      </c>
      <c r="F372" s="67" t="s">
        <v>98</v>
      </c>
      <c r="G372" s="41" t="s">
        <v>80</v>
      </c>
      <c r="H372" s="41" t="s">
        <v>108</v>
      </c>
      <c r="I372" s="42"/>
      <c r="J372" s="41" t="s">
        <v>65</v>
      </c>
      <c r="K372" s="40"/>
      <c r="L372" s="28">
        <f t="shared" ca="1" si="23"/>
        <v>25959.82</v>
      </c>
    </row>
    <row r="373" spans="2:12" x14ac:dyDescent="0.25">
      <c r="B373" s="68" t="s">
        <v>22</v>
      </c>
      <c r="C373" s="44">
        <v>45857</v>
      </c>
      <c r="D373" s="35"/>
      <c r="E373" s="35">
        <v>400</v>
      </c>
      <c r="F373" s="67" t="s">
        <v>98</v>
      </c>
      <c r="G373" s="41" t="s">
        <v>80</v>
      </c>
      <c r="H373" s="41" t="s">
        <v>135</v>
      </c>
      <c r="I373" s="42"/>
      <c r="J373" s="41" t="s">
        <v>48</v>
      </c>
      <c r="K373" s="40"/>
      <c r="L373" s="28">
        <f t="shared" ca="1" si="23"/>
        <v>25559.82</v>
      </c>
    </row>
    <row r="374" spans="2:12" x14ac:dyDescent="0.25">
      <c r="B374" s="61" t="s">
        <v>23</v>
      </c>
      <c r="C374" s="44">
        <v>45861</v>
      </c>
      <c r="D374" s="35">
        <v>3600</v>
      </c>
      <c r="F374" s="67" t="s">
        <v>334</v>
      </c>
      <c r="G374" s="41" t="s">
        <v>80</v>
      </c>
      <c r="H374" s="41" t="s">
        <v>388</v>
      </c>
      <c r="I374" s="42" t="s">
        <v>336</v>
      </c>
      <c r="J374" s="41" t="s">
        <v>99</v>
      </c>
      <c r="K374" s="40"/>
      <c r="L374" s="28">
        <f ca="1">IF(ISERROR(OFFSET(L374,-1,0,1,1)+D374-E374),D374-E374,OFFSET(L374,-1,0,1,1)+D374-E374)</f>
        <v>29159.82</v>
      </c>
    </row>
    <row r="375" spans="2:12" x14ac:dyDescent="0.25">
      <c r="B375" s="68" t="s">
        <v>23</v>
      </c>
      <c r="C375" s="44">
        <v>45861</v>
      </c>
      <c r="D375" s="35">
        <v>6000</v>
      </c>
      <c r="F375" s="67" t="s">
        <v>389</v>
      </c>
      <c r="G375" s="41" t="s">
        <v>80</v>
      </c>
      <c r="H375" s="41" t="s">
        <v>390</v>
      </c>
      <c r="I375" s="42" t="s">
        <v>378</v>
      </c>
      <c r="J375" s="41" t="s">
        <v>99</v>
      </c>
      <c r="K375" s="40"/>
      <c r="L375" s="28">
        <f ca="1">IF(ISERROR(OFFSET(L375,-1,0,1,1)+D375-E375),D375-E375,OFFSET(L375,-1,0,1,1)+D375-E375)</f>
        <v>35159.82</v>
      </c>
    </row>
    <row r="376" spans="2:12" x14ac:dyDescent="0.25">
      <c r="B376" s="68" t="s">
        <v>23</v>
      </c>
      <c r="C376" s="44">
        <v>45861</v>
      </c>
      <c r="D376" s="35"/>
      <c r="E376" s="35">
        <v>500</v>
      </c>
      <c r="F376" s="67" t="s">
        <v>347</v>
      </c>
      <c r="G376" s="41" t="s">
        <v>80</v>
      </c>
      <c r="H376" s="41" t="s">
        <v>78</v>
      </c>
      <c r="I376" s="42" t="s">
        <v>391</v>
      </c>
      <c r="J376" s="41" t="s">
        <v>12</v>
      </c>
      <c r="K376" s="40"/>
      <c r="L376" s="28">
        <f ca="1">IF(ISERROR(OFFSET(L376,-1,0,1,1)+D376-E376),D376-E376,OFFSET(L376,-1,0,1,1)+D376-E376)</f>
        <v>34659.82</v>
      </c>
    </row>
    <row r="377" spans="2:12" x14ac:dyDescent="0.25">
      <c r="B377" s="68" t="s">
        <v>23</v>
      </c>
      <c r="C377" s="44">
        <v>45862</v>
      </c>
      <c r="D377" s="35">
        <v>1440</v>
      </c>
      <c r="F377" s="67" t="s">
        <v>392</v>
      </c>
      <c r="G377" s="41" t="s">
        <v>80</v>
      </c>
      <c r="H377" s="41" t="s">
        <v>393</v>
      </c>
      <c r="I377" s="42" t="s">
        <v>295</v>
      </c>
      <c r="J377" s="41" t="s">
        <v>99</v>
      </c>
      <c r="K377" s="40"/>
      <c r="L377" s="28">
        <f ca="1">IF(ISERROR(OFFSET(L377,-1,0,1,1)+D377-E377),D377-E377,OFFSET(L377,-1,0,1,1)+D377-E377)</f>
        <v>36099.82</v>
      </c>
    </row>
    <row r="378" spans="2:12" x14ac:dyDescent="0.25">
      <c r="B378" s="61" t="s">
        <v>23</v>
      </c>
      <c r="C378" s="44">
        <v>45862</v>
      </c>
      <c r="D378" s="35"/>
      <c r="E378" s="35">
        <v>2200</v>
      </c>
      <c r="F378" s="67" t="s">
        <v>309</v>
      </c>
      <c r="G378" s="41" t="s">
        <v>373</v>
      </c>
      <c r="H378" s="41" t="s">
        <v>78</v>
      </c>
      <c r="I378" s="42" t="s">
        <v>374</v>
      </c>
      <c r="J378" s="41" t="s">
        <v>100</v>
      </c>
      <c r="K378" s="40"/>
      <c r="L378" s="28">
        <f t="shared" ca="1" si="22"/>
        <v>33899.82</v>
      </c>
    </row>
    <row r="379" spans="2:12" x14ac:dyDescent="0.25">
      <c r="B379" s="61" t="s">
        <v>23</v>
      </c>
      <c r="C379" s="44">
        <v>45862</v>
      </c>
      <c r="D379" s="35"/>
      <c r="E379" s="35">
        <v>700</v>
      </c>
      <c r="F379" s="67" t="s">
        <v>309</v>
      </c>
      <c r="G379" s="41" t="s">
        <v>373</v>
      </c>
      <c r="H379" s="41" t="s">
        <v>78</v>
      </c>
      <c r="I379" s="42" t="s">
        <v>375</v>
      </c>
      <c r="J379" s="41" t="s">
        <v>115</v>
      </c>
      <c r="K379" s="40"/>
      <c r="L379" s="28">
        <f t="shared" ca="1" si="22"/>
        <v>33199.82</v>
      </c>
    </row>
    <row r="380" spans="2:12" x14ac:dyDescent="0.25">
      <c r="B380" s="68" t="s">
        <v>22</v>
      </c>
      <c r="C380" s="44">
        <v>45862</v>
      </c>
      <c r="D380" s="35"/>
      <c r="E380" s="35">
        <v>2535</v>
      </c>
      <c r="F380" s="67" t="s">
        <v>195</v>
      </c>
      <c r="G380" s="41" t="s">
        <v>80</v>
      </c>
      <c r="H380" s="41" t="s">
        <v>78</v>
      </c>
      <c r="I380" s="69" t="s">
        <v>190</v>
      </c>
      <c r="J380" s="41" t="s">
        <v>103</v>
      </c>
      <c r="K380" s="40"/>
      <c r="L380" s="28">
        <f t="shared" ca="1" si="22"/>
        <v>30664.82</v>
      </c>
    </row>
    <row r="381" spans="2:12" x14ac:dyDescent="0.25">
      <c r="B381" s="68" t="s">
        <v>22</v>
      </c>
      <c r="C381" s="44">
        <v>45868</v>
      </c>
      <c r="D381" s="35">
        <v>47500</v>
      </c>
      <c r="F381" s="64" t="s">
        <v>356</v>
      </c>
      <c r="G381" s="41" t="s">
        <v>80</v>
      </c>
      <c r="H381" s="41" t="s">
        <v>376</v>
      </c>
      <c r="I381" s="42" t="s">
        <v>359</v>
      </c>
      <c r="J381" s="41" t="s">
        <v>99</v>
      </c>
      <c r="K381" s="40"/>
      <c r="L381" s="28">
        <f t="shared" ca="1" si="22"/>
        <v>78164.820000000007</v>
      </c>
    </row>
    <row r="382" spans="2:12" x14ac:dyDescent="0.25">
      <c r="B382" s="68" t="s">
        <v>22</v>
      </c>
      <c r="C382" s="44">
        <v>45868</v>
      </c>
      <c r="D382" s="35">
        <v>6000</v>
      </c>
      <c r="F382" s="61" t="s">
        <v>291</v>
      </c>
      <c r="G382" s="41" t="s">
        <v>80</v>
      </c>
      <c r="H382" s="41" t="s">
        <v>377</v>
      </c>
      <c r="I382" s="42" t="s">
        <v>378</v>
      </c>
      <c r="J382" s="41" t="s">
        <v>99</v>
      </c>
      <c r="K382" s="40"/>
      <c r="L382" s="28">
        <f t="shared" ca="1" si="22"/>
        <v>84164.82</v>
      </c>
    </row>
    <row r="383" spans="2:12" x14ac:dyDescent="0.25">
      <c r="B383" s="61" t="s">
        <v>23</v>
      </c>
      <c r="C383" s="44">
        <v>45868</v>
      </c>
      <c r="D383" s="35"/>
      <c r="E383" s="35">
        <v>55</v>
      </c>
      <c r="F383" s="68" t="s">
        <v>247</v>
      </c>
      <c r="G383" s="41" t="s">
        <v>80</v>
      </c>
      <c r="H383" s="41" t="s">
        <v>78</v>
      </c>
      <c r="I383" s="42" t="s">
        <v>379</v>
      </c>
      <c r="J383" s="41" t="s">
        <v>36</v>
      </c>
      <c r="K383" s="40"/>
      <c r="L383" s="28">
        <f t="shared" ca="1" si="22"/>
        <v>84109.82</v>
      </c>
    </row>
    <row r="384" spans="2:12" x14ac:dyDescent="0.25">
      <c r="B384" s="68"/>
      <c r="C384" s="39"/>
      <c r="D384" s="57"/>
      <c r="F384" s="40"/>
      <c r="G384" s="41"/>
      <c r="H384" s="41"/>
      <c r="I384" s="42"/>
      <c r="J384" s="41"/>
      <c r="K384" s="40"/>
      <c r="L384" s="28">
        <f t="shared" ca="1" si="22"/>
        <v>84109.82</v>
      </c>
    </row>
    <row r="385" spans="2:12" x14ac:dyDescent="0.25">
      <c r="B385" s="68"/>
      <c r="C385" s="44"/>
      <c r="D385" s="35"/>
      <c r="F385" s="40"/>
      <c r="G385" s="41"/>
      <c r="H385" s="41"/>
      <c r="I385" s="42"/>
      <c r="J385" s="41"/>
      <c r="K385" s="40"/>
      <c r="L385" s="28">
        <f t="shared" ca="1" si="22"/>
        <v>84109.82</v>
      </c>
    </row>
    <row r="386" spans="2:12" x14ac:dyDescent="0.25">
      <c r="B386" s="68"/>
      <c r="C386" s="39"/>
      <c r="D386" s="57"/>
      <c r="F386" s="40"/>
      <c r="G386" s="41"/>
      <c r="H386" s="41"/>
      <c r="I386" s="42"/>
      <c r="J386" s="41"/>
      <c r="K386" s="40"/>
      <c r="L386" s="28">
        <f t="shared" ca="1" si="22"/>
        <v>84109.82</v>
      </c>
    </row>
    <row r="387" spans="2:12" x14ac:dyDescent="0.25">
      <c r="B387" s="68"/>
      <c r="C387" s="39"/>
      <c r="D387" s="57"/>
      <c r="F387" s="40"/>
      <c r="G387" s="41"/>
      <c r="H387" s="41"/>
      <c r="I387" s="42"/>
      <c r="J387" s="41"/>
      <c r="K387" s="40"/>
      <c r="L387" s="28">
        <f t="shared" ca="1" si="22"/>
        <v>84109.82</v>
      </c>
    </row>
    <row r="388" spans="2:12" x14ac:dyDescent="0.25">
      <c r="B388" s="68"/>
      <c r="C388" s="39"/>
      <c r="D388" s="57"/>
      <c r="F388" s="40"/>
      <c r="G388" s="41"/>
      <c r="H388" s="41"/>
      <c r="I388" s="42"/>
      <c r="J388" s="41"/>
      <c r="K388" s="40"/>
      <c r="L388" s="28">
        <f t="shared" ca="1" si="22"/>
        <v>84109.82</v>
      </c>
    </row>
    <row r="389" spans="2:12" x14ac:dyDescent="0.25">
      <c r="B389" s="68"/>
      <c r="C389" s="39"/>
      <c r="D389" s="57"/>
      <c r="F389" s="40"/>
      <c r="G389" s="41"/>
      <c r="H389" s="41"/>
      <c r="I389" s="42"/>
      <c r="J389" s="41"/>
      <c r="K389" s="40"/>
      <c r="L389" s="28">
        <f t="shared" ca="1" si="22"/>
        <v>84109.82</v>
      </c>
    </row>
    <row r="390" spans="2:12" x14ac:dyDescent="0.25">
      <c r="B390" s="68"/>
      <c r="C390" s="39"/>
      <c r="D390" s="57"/>
      <c r="F390" s="40"/>
      <c r="G390" s="41"/>
      <c r="H390" s="41"/>
      <c r="I390" s="42"/>
      <c r="J390" s="41"/>
      <c r="K390" s="40"/>
      <c r="L390" s="28">
        <f t="shared" ca="1" si="22"/>
        <v>84109.82</v>
      </c>
    </row>
    <row r="391" spans="2:12" x14ac:dyDescent="0.25">
      <c r="B391" s="68"/>
      <c r="C391" s="39"/>
      <c r="D391" s="57"/>
      <c r="F391" s="40"/>
      <c r="G391" s="41"/>
      <c r="H391" s="41"/>
      <c r="I391" s="42"/>
      <c r="J391" s="41"/>
      <c r="K391" s="40"/>
      <c r="L391" s="28">
        <f t="shared" ca="1" si="22"/>
        <v>84109.82</v>
      </c>
    </row>
    <row r="392" spans="2:12" x14ac:dyDescent="0.25">
      <c r="B392" s="68"/>
      <c r="C392" s="44"/>
      <c r="D392" s="57"/>
      <c r="F392" s="38"/>
      <c r="G392" s="41"/>
      <c r="H392" s="41"/>
      <c r="I392" s="42"/>
      <c r="J392" s="41"/>
      <c r="K392" s="40"/>
      <c r="L392" s="28">
        <f t="shared" ca="1" si="22"/>
        <v>84109.82</v>
      </c>
    </row>
    <row r="393" spans="2:12" x14ac:dyDescent="0.25">
      <c r="B393" s="68"/>
      <c r="C393" s="44"/>
      <c r="D393" s="57"/>
      <c r="F393" s="38"/>
      <c r="G393" s="41"/>
      <c r="H393" s="41"/>
      <c r="I393" s="42"/>
      <c r="J393" s="41"/>
      <c r="K393" s="40"/>
      <c r="L393" s="28">
        <f t="shared" ca="1" si="22"/>
        <v>84109.82</v>
      </c>
    </row>
    <row r="394" spans="2:12" x14ac:dyDescent="0.25">
      <c r="B394" s="68"/>
      <c r="C394" s="39"/>
      <c r="D394" s="57"/>
      <c r="F394" s="40"/>
      <c r="G394" s="41"/>
      <c r="H394" s="41"/>
      <c r="I394" s="42"/>
      <c r="J394" s="41"/>
      <c r="K394" s="40"/>
      <c r="L394" s="28">
        <f t="shared" ca="1" si="22"/>
        <v>84109.82</v>
      </c>
    </row>
    <row r="395" spans="2:12" x14ac:dyDescent="0.25">
      <c r="B395" s="68"/>
      <c r="C395" s="44"/>
      <c r="D395" s="57"/>
      <c r="F395" s="40"/>
      <c r="G395" s="41"/>
      <c r="H395" s="41"/>
      <c r="I395" s="42"/>
      <c r="J395" s="41"/>
      <c r="K395" s="40"/>
      <c r="L395" s="28">
        <f t="shared" ca="1" si="22"/>
        <v>84109.82</v>
      </c>
    </row>
    <row r="396" spans="2:12" x14ac:dyDescent="0.25">
      <c r="B396" s="68"/>
      <c r="C396" s="44"/>
      <c r="D396" s="57"/>
      <c r="F396" s="40"/>
      <c r="G396" s="41"/>
      <c r="H396" s="41"/>
      <c r="I396" s="42"/>
      <c r="J396" s="41"/>
      <c r="K396" s="40"/>
      <c r="L396" s="28">
        <f t="shared" ca="1" si="22"/>
        <v>84109.82</v>
      </c>
    </row>
    <row r="397" spans="2:12" x14ac:dyDescent="0.25">
      <c r="B397" s="68"/>
      <c r="C397" s="44"/>
      <c r="D397" s="57"/>
      <c r="F397" s="38"/>
      <c r="G397" s="41"/>
      <c r="H397" s="41"/>
      <c r="I397" s="42"/>
      <c r="J397" s="41"/>
      <c r="K397" s="40"/>
      <c r="L397" s="28">
        <f t="shared" ca="1" si="22"/>
        <v>84109.82</v>
      </c>
    </row>
    <row r="398" spans="2:12" x14ac:dyDescent="0.25">
      <c r="B398" s="68"/>
      <c r="C398" s="44"/>
      <c r="D398" s="57"/>
      <c r="F398" s="40"/>
      <c r="G398" s="41"/>
      <c r="H398" s="41"/>
      <c r="I398" s="42"/>
      <c r="J398" s="41"/>
      <c r="K398" s="40"/>
      <c r="L398" s="28">
        <f t="shared" ca="1" si="22"/>
        <v>84109.82</v>
      </c>
    </row>
    <row r="399" spans="2:12" x14ac:dyDescent="0.25">
      <c r="B399" s="68"/>
      <c r="C399" s="44"/>
      <c r="D399" s="57"/>
      <c r="F399" s="40"/>
      <c r="G399" s="41"/>
      <c r="H399" s="41"/>
      <c r="I399" s="42"/>
      <c r="J399" s="41"/>
      <c r="K399" s="40"/>
      <c r="L399" s="28">
        <f t="shared" ca="1" si="22"/>
        <v>84109.82</v>
      </c>
    </row>
    <row r="400" spans="2:12" x14ac:dyDescent="0.25">
      <c r="B400" s="68"/>
      <c r="C400" s="44"/>
      <c r="D400" s="57"/>
      <c r="F400" s="38"/>
      <c r="G400" s="41"/>
      <c r="H400" s="41"/>
      <c r="I400" s="42"/>
      <c r="J400" s="41"/>
      <c r="K400" s="40"/>
      <c r="L400" s="28">
        <f t="shared" ca="1" si="22"/>
        <v>84109.82</v>
      </c>
    </row>
    <row r="401" spans="2:12" x14ac:dyDescent="0.25">
      <c r="B401" s="68"/>
      <c r="C401" s="44"/>
      <c r="D401" s="57"/>
      <c r="F401" s="38"/>
      <c r="G401" s="41"/>
      <c r="H401" s="41"/>
      <c r="I401" s="42"/>
      <c r="J401" s="41"/>
      <c r="K401" s="40"/>
      <c r="L401" s="28">
        <f t="shared" ref="L401:L418" ca="1" si="24">IF(ISERROR(OFFSET(L401,-1,0,1,1)+D401-E401),D401-E401,OFFSET(L401,-1,0,1,1)+D401-E401)</f>
        <v>84109.82</v>
      </c>
    </row>
    <row r="402" spans="2:12" x14ac:dyDescent="0.25">
      <c r="B402" s="68"/>
      <c r="C402" s="44"/>
      <c r="D402" s="57"/>
      <c r="F402" s="38"/>
      <c r="G402" s="41"/>
      <c r="H402" s="41"/>
      <c r="I402" s="42"/>
      <c r="J402" s="41"/>
      <c r="K402" s="40"/>
      <c r="L402" s="28">
        <f t="shared" ca="1" si="24"/>
        <v>84109.82</v>
      </c>
    </row>
    <row r="403" spans="2:12" x14ac:dyDescent="0.25">
      <c r="B403" s="68"/>
      <c r="C403" s="44"/>
      <c r="D403" s="57"/>
      <c r="F403" s="38"/>
      <c r="G403" s="41"/>
      <c r="H403" s="41"/>
      <c r="I403" s="42"/>
      <c r="J403" s="41"/>
      <c r="K403" s="40"/>
      <c r="L403" s="28">
        <f t="shared" ca="1" si="24"/>
        <v>84109.82</v>
      </c>
    </row>
    <row r="404" spans="2:12" x14ac:dyDescent="0.25">
      <c r="B404" s="68"/>
      <c r="C404" s="44"/>
      <c r="D404" s="57"/>
      <c r="F404" s="40"/>
      <c r="G404" s="41"/>
      <c r="H404" s="41"/>
      <c r="I404" s="42"/>
      <c r="J404" s="41"/>
      <c r="K404" s="40"/>
      <c r="L404" s="28">
        <f t="shared" ca="1" si="24"/>
        <v>84109.82</v>
      </c>
    </row>
    <row r="405" spans="2:12" x14ac:dyDescent="0.25">
      <c r="B405" s="68"/>
      <c r="C405" s="44"/>
      <c r="D405" s="57"/>
      <c r="F405" s="40"/>
      <c r="G405" s="41"/>
      <c r="H405" s="41"/>
      <c r="I405" s="42"/>
      <c r="J405" s="41"/>
      <c r="K405" s="40"/>
      <c r="L405" s="28">
        <f t="shared" ca="1" si="24"/>
        <v>84109.82</v>
      </c>
    </row>
    <row r="406" spans="2:12" x14ac:dyDescent="0.25">
      <c r="B406" s="68"/>
      <c r="C406" s="44"/>
      <c r="D406" s="57"/>
      <c r="F406" s="38"/>
      <c r="G406" s="41"/>
      <c r="H406" s="41"/>
      <c r="I406" s="42"/>
      <c r="J406" s="41"/>
      <c r="K406" s="40"/>
      <c r="L406" s="28">
        <f t="shared" ca="1" si="24"/>
        <v>84109.82</v>
      </c>
    </row>
    <row r="407" spans="2:12" x14ac:dyDescent="0.25">
      <c r="B407" s="68"/>
      <c r="C407" s="44"/>
      <c r="D407" s="57"/>
      <c r="F407" s="40"/>
      <c r="G407" s="41"/>
      <c r="H407" s="41"/>
      <c r="I407" s="42"/>
      <c r="J407" s="41"/>
      <c r="K407" s="40"/>
      <c r="L407" s="28">
        <f t="shared" ca="1" si="24"/>
        <v>84109.82</v>
      </c>
    </row>
    <row r="408" spans="2:12" x14ac:dyDescent="0.25">
      <c r="B408" s="38"/>
      <c r="C408" s="44"/>
      <c r="D408" s="57"/>
      <c r="F408" s="40"/>
      <c r="G408" s="41"/>
      <c r="H408" s="41"/>
      <c r="I408" s="42"/>
      <c r="J408" s="41"/>
      <c r="K408" s="40"/>
      <c r="L408" s="28">
        <f t="shared" ca="1" si="24"/>
        <v>84109.82</v>
      </c>
    </row>
    <row r="409" spans="2:12" x14ac:dyDescent="0.25">
      <c r="B409" s="38"/>
      <c r="C409" s="44"/>
      <c r="D409" s="57"/>
      <c r="F409" s="38"/>
      <c r="G409" s="41"/>
      <c r="H409" s="41"/>
      <c r="I409" s="42"/>
      <c r="J409" s="41"/>
      <c r="K409" s="40"/>
      <c r="L409" s="28">
        <f t="shared" ca="1" si="24"/>
        <v>84109.82</v>
      </c>
    </row>
    <row r="410" spans="2:12" x14ac:dyDescent="0.25">
      <c r="B410" s="38"/>
      <c r="C410" s="44"/>
      <c r="D410" s="57"/>
      <c r="F410" s="38"/>
      <c r="G410" s="41"/>
      <c r="H410" s="41"/>
      <c r="I410" s="42"/>
      <c r="J410" s="41"/>
      <c r="K410" s="40"/>
      <c r="L410" s="28">
        <f t="shared" ca="1" si="24"/>
        <v>84109.82</v>
      </c>
    </row>
    <row r="411" spans="2:12" ht="15.6" customHeight="1" x14ac:dyDescent="0.25">
      <c r="B411" s="38"/>
      <c r="C411" s="44"/>
      <c r="D411" s="57"/>
      <c r="F411" s="38"/>
      <c r="G411" s="41"/>
      <c r="H411" s="41"/>
      <c r="I411" s="42"/>
      <c r="J411" s="41"/>
      <c r="K411" s="40"/>
      <c r="L411" s="28">
        <f t="shared" ca="1" si="24"/>
        <v>84109.82</v>
      </c>
    </row>
    <row r="412" spans="2:12" x14ac:dyDescent="0.25">
      <c r="B412" s="38"/>
      <c r="C412" s="39"/>
      <c r="D412" s="35"/>
      <c r="F412" s="40"/>
      <c r="G412" s="41"/>
      <c r="H412" s="41"/>
      <c r="I412" s="42"/>
      <c r="J412" s="41"/>
      <c r="K412" s="40"/>
      <c r="L412" s="28">
        <f t="shared" ca="1" si="24"/>
        <v>84109.82</v>
      </c>
    </row>
    <row r="413" spans="2:12" x14ac:dyDescent="0.25">
      <c r="B413" s="38"/>
      <c r="C413" s="39"/>
      <c r="D413" s="35"/>
      <c r="F413" s="38"/>
      <c r="G413" s="41"/>
      <c r="H413" s="41"/>
      <c r="I413" s="42"/>
      <c r="J413" s="41"/>
      <c r="K413" s="40"/>
      <c r="L413" s="28">
        <f t="shared" ca="1" si="24"/>
        <v>84109.82</v>
      </c>
    </row>
    <row r="414" spans="2:12" x14ac:dyDescent="0.25">
      <c r="B414" s="38"/>
      <c r="C414" s="39"/>
      <c r="D414" s="35"/>
      <c r="F414" s="40"/>
      <c r="G414" s="41"/>
      <c r="H414" s="41"/>
      <c r="I414" s="42"/>
      <c r="J414" s="41"/>
      <c r="K414" s="40"/>
      <c r="L414" s="28">
        <f t="shared" ca="1" si="24"/>
        <v>84109.82</v>
      </c>
    </row>
    <row r="415" spans="2:12" x14ac:dyDescent="0.25">
      <c r="B415" s="38"/>
      <c r="C415" s="39"/>
      <c r="D415" s="35"/>
      <c r="F415" s="40"/>
      <c r="G415" s="41"/>
      <c r="H415" s="41"/>
      <c r="I415" s="42"/>
      <c r="J415" s="41"/>
      <c r="K415" s="40"/>
      <c r="L415" s="28">
        <f t="shared" ca="1" si="24"/>
        <v>84109.82</v>
      </c>
    </row>
    <row r="416" spans="2:12" x14ac:dyDescent="0.25">
      <c r="B416" s="38"/>
      <c r="C416" s="39"/>
      <c r="D416" s="35"/>
      <c r="F416" s="40"/>
      <c r="G416" s="41"/>
      <c r="H416" s="41"/>
      <c r="I416" s="42"/>
      <c r="J416" s="41"/>
      <c r="K416" s="40"/>
      <c r="L416" s="28">
        <f t="shared" ca="1" si="24"/>
        <v>84109.82</v>
      </c>
    </row>
    <row r="417" spans="2:12" x14ac:dyDescent="0.25">
      <c r="B417" s="38"/>
      <c r="C417" s="39"/>
      <c r="D417" s="35"/>
      <c r="F417" s="38"/>
      <c r="G417" s="41"/>
      <c r="H417" s="41"/>
      <c r="I417" s="42"/>
      <c r="J417" s="41"/>
      <c r="K417" s="40"/>
      <c r="L417" s="28">
        <f t="shared" ca="1" si="24"/>
        <v>84109.82</v>
      </c>
    </row>
    <row r="418" spans="2:12" x14ac:dyDescent="0.25">
      <c r="B418" s="38"/>
      <c r="C418" s="45"/>
      <c r="D418" s="35"/>
      <c r="F418" s="38"/>
      <c r="G418" s="41"/>
      <c r="H418" s="41"/>
      <c r="I418" s="42"/>
      <c r="J418" s="41"/>
      <c r="K418" s="40"/>
      <c r="L418" s="28">
        <f t="shared" ca="1" si="24"/>
        <v>84109.82</v>
      </c>
    </row>
    <row r="419" spans="2:12" x14ac:dyDescent="0.25">
      <c r="B419" s="47"/>
      <c r="C419" s="48"/>
      <c r="D419" s="52">
        <f>SUBTOTAL(109,Julio_2024[INGRESO])</f>
        <v>132200</v>
      </c>
      <c r="E419" s="52">
        <f>SUBTOTAL(109,Julio_2024[EGRESO])</f>
        <v>48090.18</v>
      </c>
      <c r="F419" s="49"/>
      <c r="G419" s="50"/>
      <c r="H419" s="50"/>
      <c r="I419" s="51"/>
      <c r="J419" s="50"/>
      <c r="K419" s="49"/>
      <c r="L419" s="53"/>
    </row>
    <row r="420" spans="2:12" x14ac:dyDescent="0.25">
      <c r="D420" s="35"/>
    </row>
    <row r="421" spans="2:12" s="65" customFormat="1" x14ac:dyDescent="0.25">
      <c r="B421" s="76" t="s">
        <v>127</v>
      </c>
      <c r="C421" s="77"/>
      <c r="D421" s="77"/>
      <c r="E421" s="77"/>
      <c r="F421" s="77"/>
      <c r="G421" s="77"/>
      <c r="H421" s="77"/>
      <c r="I421" s="77"/>
      <c r="J421" s="77"/>
      <c r="K421" s="77"/>
      <c r="L421" s="77"/>
    </row>
    <row r="422" spans="2:12" x14ac:dyDescent="0.25">
      <c r="B422" s="36" t="s">
        <v>16</v>
      </c>
      <c r="C422" s="37" t="s">
        <v>17</v>
      </c>
      <c r="D422" s="46" t="s">
        <v>73</v>
      </c>
      <c r="E422" s="46" t="s">
        <v>74</v>
      </c>
      <c r="F422" s="37" t="s">
        <v>54</v>
      </c>
      <c r="G422" s="37" t="s">
        <v>76</v>
      </c>
      <c r="H422" s="37" t="s">
        <v>77</v>
      </c>
      <c r="I422" s="37" t="s">
        <v>75</v>
      </c>
      <c r="J422" s="37" t="s">
        <v>18</v>
      </c>
      <c r="K422" s="37" t="s">
        <v>64</v>
      </c>
      <c r="L422" s="37" t="s">
        <v>19</v>
      </c>
    </row>
    <row r="423" spans="2:12" x14ac:dyDescent="0.25">
      <c r="B423" s="68" t="s">
        <v>22</v>
      </c>
      <c r="C423" s="44">
        <v>45871</v>
      </c>
      <c r="D423" s="35"/>
      <c r="E423" s="35">
        <v>4500</v>
      </c>
      <c r="F423" s="67" t="s">
        <v>171</v>
      </c>
      <c r="G423" s="41" t="s">
        <v>80</v>
      </c>
      <c r="H423" s="41" t="s">
        <v>108</v>
      </c>
      <c r="I423" s="69"/>
      <c r="J423" s="41" t="s">
        <v>65</v>
      </c>
      <c r="K423" s="40"/>
      <c r="L423" s="28">
        <f t="shared" ref="L423:L447" ca="1" si="25">IF(ISERROR(OFFSET(L423,-1,0,1,1)+D423-E423),D423-E423,OFFSET(L423,-1,0,1,1)+D423-E423)</f>
        <v>-4500</v>
      </c>
    </row>
    <row r="424" spans="2:12" x14ac:dyDescent="0.25">
      <c r="B424" s="68" t="s">
        <v>22</v>
      </c>
      <c r="C424" s="44">
        <v>45871</v>
      </c>
      <c r="D424" s="35"/>
      <c r="E424" s="35">
        <v>6550</v>
      </c>
      <c r="F424" s="67" t="s">
        <v>171</v>
      </c>
      <c r="G424" s="41" t="s">
        <v>80</v>
      </c>
      <c r="H424" s="41" t="s">
        <v>108</v>
      </c>
      <c r="I424" s="42" t="s">
        <v>412</v>
      </c>
      <c r="J424" s="41" t="s">
        <v>37</v>
      </c>
      <c r="K424" s="40"/>
      <c r="L424" s="28">
        <f t="shared" ca="1" si="25"/>
        <v>-11050</v>
      </c>
    </row>
    <row r="425" spans="2:12" x14ac:dyDescent="0.25">
      <c r="B425" s="68" t="s">
        <v>22</v>
      </c>
      <c r="C425" s="44">
        <v>45871</v>
      </c>
      <c r="D425" s="35"/>
      <c r="E425" s="35">
        <v>3500</v>
      </c>
      <c r="F425" s="67" t="s">
        <v>172</v>
      </c>
      <c r="G425" s="41" t="s">
        <v>80</v>
      </c>
      <c r="H425" s="41" t="s">
        <v>108</v>
      </c>
      <c r="I425" s="69"/>
      <c r="J425" s="41" t="s">
        <v>65</v>
      </c>
      <c r="K425" s="40"/>
      <c r="L425" s="28">
        <f t="shared" ca="1" si="25"/>
        <v>-14550</v>
      </c>
    </row>
    <row r="426" spans="2:12" x14ac:dyDescent="0.25">
      <c r="B426" s="68" t="s">
        <v>22</v>
      </c>
      <c r="C426" s="44">
        <v>45871</v>
      </c>
      <c r="D426" s="35"/>
      <c r="E426" s="35">
        <v>400</v>
      </c>
      <c r="F426" s="67" t="s">
        <v>172</v>
      </c>
      <c r="G426" s="41" t="s">
        <v>80</v>
      </c>
      <c r="H426" s="41" t="s">
        <v>135</v>
      </c>
      <c r="I426" s="69"/>
      <c r="J426" s="41" t="s">
        <v>48</v>
      </c>
      <c r="K426" s="40"/>
      <c r="L426" s="28">
        <f t="shared" ca="1" si="25"/>
        <v>-14950</v>
      </c>
    </row>
    <row r="427" spans="2:12" x14ac:dyDescent="0.25">
      <c r="B427" s="68" t="s">
        <v>22</v>
      </c>
      <c r="C427" s="44">
        <v>45871</v>
      </c>
      <c r="D427" s="35"/>
      <c r="E427" s="35">
        <v>2000</v>
      </c>
      <c r="F427" s="67" t="s">
        <v>173</v>
      </c>
      <c r="G427" s="41" t="s">
        <v>80</v>
      </c>
      <c r="H427" s="41" t="s">
        <v>108</v>
      </c>
      <c r="I427" s="69"/>
      <c r="J427" s="41" t="s">
        <v>65</v>
      </c>
      <c r="K427" s="40"/>
      <c r="L427" s="28">
        <f t="shared" ca="1" si="25"/>
        <v>-16950</v>
      </c>
    </row>
    <row r="428" spans="2:12" x14ac:dyDescent="0.25">
      <c r="B428" s="68" t="s">
        <v>22</v>
      </c>
      <c r="C428" s="44">
        <v>45871</v>
      </c>
      <c r="D428" s="35"/>
      <c r="E428" s="35">
        <v>400</v>
      </c>
      <c r="F428" s="67" t="s">
        <v>173</v>
      </c>
      <c r="G428" s="41" t="s">
        <v>80</v>
      </c>
      <c r="H428" s="41" t="s">
        <v>135</v>
      </c>
      <c r="I428" s="42"/>
      <c r="J428" s="41" t="s">
        <v>48</v>
      </c>
      <c r="K428" s="40"/>
      <c r="L428" s="28">
        <f t="shared" ca="1" si="25"/>
        <v>-17350</v>
      </c>
    </row>
    <row r="429" spans="2:12" x14ac:dyDescent="0.25">
      <c r="B429" s="68" t="s">
        <v>22</v>
      </c>
      <c r="C429" s="44">
        <v>45871</v>
      </c>
      <c r="D429" s="35"/>
      <c r="E429" s="35">
        <v>800</v>
      </c>
      <c r="F429" s="67" t="s">
        <v>79</v>
      </c>
      <c r="G429" s="41" t="s">
        <v>80</v>
      </c>
      <c r="H429" s="41" t="s">
        <v>108</v>
      </c>
      <c r="I429" s="69"/>
      <c r="J429" s="41" t="s">
        <v>65</v>
      </c>
      <c r="K429" s="40"/>
      <c r="L429" s="28">
        <f t="shared" ca="1" si="25"/>
        <v>-18150</v>
      </c>
    </row>
    <row r="430" spans="2:12" x14ac:dyDescent="0.25">
      <c r="B430" s="68" t="s">
        <v>22</v>
      </c>
      <c r="C430" s="44">
        <v>45871</v>
      </c>
      <c r="D430" s="35"/>
      <c r="E430" s="35">
        <v>400</v>
      </c>
      <c r="F430" s="67" t="s">
        <v>79</v>
      </c>
      <c r="G430" s="41" t="s">
        <v>80</v>
      </c>
      <c r="H430" s="41" t="s">
        <v>135</v>
      </c>
      <c r="I430" s="69"/>
      <c r="J430" s="41" t="s">
        <v>48</v>
      </c>
      <c r="K430" s="40"/>
      <c r="L430" s="28">
        <f t="shared" ca="1" si="25"/>
        <v>-18550</v>
      </c>
    </row>
    <row r="431" spans="2:12" x14ac:dyDescent="0.25">
      <c r="B431" s="68" t="s">
        <v>22</v>
      </c>
      <c r="C431" s="44">
        <v>45871</v>
      </c>
      <c r="D431" s="35"/>
      <c r="E431" s="35">
        <v>2050</v>
      </c>
      <c r="F431" s="67" t="s">
        <v>98</v>
      </c>
      <c r="G431" s="41" t="s">
        <v>80</v>
      </c>
      <c r="H431" s="41" t="s">
        <v>108</v>
      </c>
      <c r="I431" s="42"/>
      <c r="J431" s="41" t="s">
        <v>65</v>
      </c>
      <c r="K431" s="40"/>
      <c r="L431" s="28">
        <f t="shared" ca="1" si="25"/>
        <v>-20600</v>
      </c>
    </row>
    <row r="432" spans="2:12" x14ac:dyDescent="0.25">
      <c r="B432" s="68" t="s">
        <v>22</v>
      </c>
      <c r="C432" s="44">
        <v>45871</v>
      </c>
      <c r="D432" s="35"/>
      <c r="E432" s="35">
        <v>400</v>
      </c>
      <c r="F432" s="67" t="s">
        <v>98</v>
      </c>
      <c r="G432" s="41" t="s">
        <v>80</v>
      </c>
      <c r="H432" s="41" t="s">
        <v>135</v>
      </c>
      <c r="I432" s="42"/>
      <c r="J432" s="41" t="s">
        <v>48</v>
      </c>
      <c r="K432" s="40"/>
      <c r="L432" s="28">
        <f t="shared" ca="1" si="25"/>
        <v>-21000</v>
      </c>
    </row>
    <row r="433" spans="2:12" x14ac:dyDescent="0.25">
      <c r="B433" s="68" t="s">
        <v>23</v>
      </c>
      <c r="C433" s="44">
        <v>45874</v>
      </c>
      <c r="D433" s="35"/>
      <c r="E433" s="35">
        <v>3020</v>
      </c>
      <c r="F433" s="67" t="s">
        <v>309</v>
      </c>
      <c r="G433" s="41" t="s">
        <v>80</v>
      </c>
      <c r="H433" s="41" t="s">
        <v>78</v>
      </c>
      <c r="I433" s="42" t="s">
        <v>146</v>
      </c>
      <c r="J433" s="41" t="s">
        <v>103</v>
      </c>
      <c r="K433" s="40"/>
      <c r="L433" s="28">
        <f t="shared" ca="1" si="25"/>
        <v>-24020</v>
      </c>
    </row>
    <row r="434" spans="2:12" x14ac:dyDescent="0.25">
      <c r="B434" s="68" t="s">
        <v>23</v>
      </c>
      <c r="C434" s="44">
        <v>45871</v>
      </c>
      <c r="D434" s="35">
        <v>240</v>
      </c>
      <c r="F434" s="67" t="s">
        <v>382</v>
      </c>
      <c r="G434" s="41" t="s">
        <v>80</v>
      </c>
      <c r="H434" s="41" t="s">
        <v>413</v>
      </c>
      <c r="I434" s="42" t="s">
        <v>415</v>
      </c>
      <c r="J434" s="41" t="s">
        <v>99</v>
      </c>
      <c r="K434" s="40"/>
      <c r="L434" s="28">
        <f ca="1">IF(ISERROR(OFFSET(L434,-1,0,1,1)+D434-E434),D434-E434,OFFSET(L434,-1,0,1,1)+D434-E434)</f>
        <v>-23780</v>
      </c>
    </row>
    <row r="435" spans="2:12" x14ac:dyDescent="0.25">
      <c r="B435" s="68" t="s">
        <v>22</v>
      </c>
      <c r="C435" s="44">
        <v>45874</v>
      </c>
      <c r="D435" s="35"/>
      <c r="E435" s="35">
        <v>373.88499999999999</v>
      </c>
      <c r="F435" s="67" t="s">
        <v>201</v>
      </c>
      <c r="G435" s="41" t="s">
        <v>80</v>
      </c>
      <c r="H435" s="41" t="s">
        <v>78</v>
      </c>
      <c r="I435" s="42" t="s">
        <v>483</v>
      </c>
      <c r="J435" s="41" t="s">
        <v>94</v>
      </c>
      <c r="K435" s="40"/>
      <c r="L435" s="28">
        <f ca="1">IF(ISERROR(OFFSET(L435,-1,0,1,1)+D435-E435),D435-E435,OFFSET(L435,-1,0,1,1)+D435-E435)</f>
        <v>-24153.884999999998</v>
      </c>
    </row>
    <row r="436" spans="2:12" x14ac:dyDescent="0.25">
      <c r="B436" s="68" t="s">
        <v>22</v>
      </c>
      <c r="C436" s="44">
        <v>45875</v>
      </c>
      <c r="D436" s="35">
        <v>23750</v>
      </c>
      <c r="F436" s="67" t="s">
        <v>356</v>
      </c>
      <c r="G436" s="41" t="s">
        <v>80</v>
      </c>
      <c r="H436" s="41" t="s">
        <v>461</v>
      </c>
      <c r="I436" s="42" t="s">
        <v>479</v>
      </c>
      <c r="J436" s="41" t="s">
        <v>99</v>
      </c>
      <c r="K436" s="40"/>
      <c r="L436" s="28">
        <f ca="1">IF(ISERROR(OFFSET(L436,-1,0,1,1)+D436-E436),D436-E436,OFFSET(L436,-1,0,1,1)+D436-E436)</f>
        <v>-403.8849999999984</v>
      </c>
    </row>
    <row r="437" spans="2:12" x14ac:dyDescent="0.25">
      <c r="B437" s="68" t="s">
        <v>22</v>
      </c>
      <c r="C437" s="44">
        <v>45875</v>
      </c>
      <c r="D437" s="35">
        <v>2000</v>
      </c>
      <c r="F437" s="67" t="s">
        <v>316</v>
      </c>
      <c r="G437" s="41" t="s">
        <v>80</v>
      </c>
      <c r="H437" s="41" t="s">
        <v>414</v>
      </c>
      <c r="I437" s="42" t="s">
        <v>333</v>
      </c>
      <c r="J437" s="41" t="s">
        <v>99</v>
      </c>
      <c r="K437" s="40"/>
      <c r="L437" s="28">
        <f t="shared" ca="1" si="25"/>
        <v>1596.1150000000016</v>
      </c>
    </row>
    <row r="438" spans="2:12" x14ac:dyDescent="0.25">
      <c r="B438" s="68" t="s">
        <v>23</v>
      </c>
      <c r="C438" s="44">
        <v>45877</v>
      </c>
      <c r="D438" s="35">
        <v>240</v>
      </c>
      <c r="F438" s="67" t="s">
        <v>382</v>
      </c>
      <c r="G438" s="41" t="s">
        <v>80</v>
      </c>
      <c r="H438" s="41" t="s">
        <v>417</v>
      </c>
      <c r="I438" s="42" t="s">
        <v>415</v>
      </c>
      <c r="J438" s="41" t="s">
        <v>99</v>
      </c>
      <c r="K438" s="40"/>
      <c r="L438" s="28">
        <f ca="1">IF(ISERROR(OFFSET(L438,-1,0,1,1)+D438-E438),D438-E438,OFFSET(L438,-1,0,1,1)+D438-E438)</f>
        <v>1836.1150000000016</v>
      </c>
    </row>
    <row r="439" spans="2:12" x14ac:dyDescent="0.25">
      <c r="B439" s="68" t="s">
        <v>23</v>
      </c>
      <c r="C439" s="44">
        <v>45877</v>
      </c>
      <c r="D439" s="35"/>
      <c r="E439" s="35">
        <v>240</v>
      </c>
      <c r="F439" s="67" t="s">
        <v>245</v>
      </c>
      <c r="G439" s="41" t="s">
        <v>80</v>
      </c>
      <c r="H439" s="41" t="s">
        <v>78</v>
      </c>
      <c r="I439" s="42" t="s">
        <v>246</v>
      </c>
      <c r="J439" s="41" t="s">
        <v>36</v>
      </c>
      <c r="K439" s="40"/>
      <c r="L439" s="28">
        <f ca="1">IF(ISERROR(OFFSET(L439,-1,0,1,1)+D439-E439),D439-E439,OFFSET(L439,-1,0,1,1)+D439-E439)</f>
        <v>1596.1150000000016</v>
      </c>
    </row>
    <row r="440" spans="2:12" x14ac:dyDescent="0.25">
      <c r="B440" s="68" t="s">
        <v>22</v>
      </c>
      <c r="C440" s="44">
        <v>45877</v>
      </c>
      <c r="D440" s="35"/>
      <c r="E440" s="35">
        <v>5000</v>
      </c>
      <c r="F440" s="67" t="s">
        <v>473</v>
      </c>
      <c r="G440" s="41" t="s">
        <v>80</v>
      </c>
      <c r="H440" s="41" t="s">
        <v>78</v>
      </c>
      <c r="I440" s="42" t="s">
        <v>474</v>
      </c>
      <c r="J440" s="41" t="s">
        <v>36</v>
      </c>
      <c r="K440" s="40"/>
      <c r="L440" s="28">
        <f ca="1">IF(ISERROR(OFFSET(L440,-1,0,1,1)+D440-E440),D440-E440,OFFSET(L440,-1,0,1,1)+D440-E440)</f>
        <v>-3403.8849999999984</v>
      </c>
    </row>
    <row r="441" spans="2:12" x14ac:dyDescent="0.25">
      <c r="B441" s="68" t="s">
        <v>22</v>
      </c>
      <c r="C441" s="44">
        <v>45877</v>
      </c>
      <c r="D441" s="35"/>
      <c r="E441" s="35">
        <v>500</v>
      </c>
      <c r="F441" s="67" t="s">
        <v>245</v>
      </c>
      <c r="G441" s="41" t="s">
        <v>80</v>
      </c>
      <c r="H441" s="41" t="s">
        <v>78</v>
      </c>
      <c r="I441" s="42" t="s">
        <v>475</v>
      </c>
      <c r="J441" s="41" t="s">
        <v>36</v>
      </c>
      <c r="K441" s="40"/>
      <c r="L441" s="28">
        <f ca="1">IF(ISERROR(OFFSET(L441,-1,0,1,1)+D441-E441),D441-E441,OFFSET(L441,-1,0,1,1)+D441-E441)</f>
        <v>-3903.8849999999984</v>
      </c>
    </row>
    <row r="442" spans="2:12" x14ac:dyDescent="0.25">
      <c r="B442" s="68" t="s">
        <v>22</v>
      </c>
      <c r="C442" s="44">
        <v>45878</v>
      </c>
      <c r="D442" s="35">
        <v>13700</v>
      </c>
      <c r="F442" s="67" t="s">
        <v>404</v>
      </c>
      <c r="G442" s="41" t="s">
        <v>80</v>
      </c>
      <c r="H442" s="41" t="s">
        <v>416</v>
      </c>
      <c r="I442" s="42" t="s">
        <v>405</v>
      </c>
      <c r="J442" s="41" t="s">
        <v>99</v>
      </c>
      <c r="K442" s="40"/>
      <c r="L442" s="28">
        <f t="shared" ca="1" si="25"/>
        <v>9796.1150000000016</v>
      </c>
    </row>
    <row r="443" spans="2:12" x14ac:dyDescent="0.25">
      <c r="B443" s="68" t="s">
        <v>22</v>
      </c>
      <c r="C443" s="44">
        <v>45878</v>
      </c>
      <c r="D443" s="35"/>
      <c r="E443" s="35">
        <v>576.65120000000002</v>
      </c>
      <c r="F443" s="40" t="s">
        <v>527</v>
      </c>
      <c r="G443" s="41" t="s">
        <v>528</v>
      </c>
      <c r="H443" s="41" t="s">
        <v>78</v>
      </c>
      <c r="I443" s="42" t="s">
        <v>529</v>
      </c>
      <c r="J443" s="41" t="s">
        <v>109</v>
      </c>
      <c r="K443" s="40"/>
      <c r="L443" s="28">
        <f ca="1">IF(ISERROR(OFFSET(L443,-1,0,1,1)+D443-E443),D443-E443,OFFSET(L443,-1,0,1,1)+D443-E443)</f>
        <v>9219.4638000000014</v>
      </c>
    </row>
    <row r="444" spans="2:12" x14ac:dyDescent="0.25">
      <c r="B444" s="68" t="s">
        <v>23</v>
      </c>
      <c r="C444" s="44">
        <v>45880</v>
      </c>
      <c r="D444" s="35"/>
      <c r="E444" s="35">
        <v>600</v>
      </c>
      <c r="F444" s="67" t="s">
        <v>347</v>
      </c>
      <c r="G444" s="41" t="s">
        <v>80</v>
      </c>
      <c r="H444" s="41" t="s">
        <v>78</v>
      </c>
      <c r="I444" s="42" t="s">
        <v>394</v>
      </c>
      <c r="J444" s="41" t="s">
        <v>12</v>
      </c>
      <c r="K444" s="40"/>
      <c r="L444" s="28">
        <f t="shared" ca="1" si="25"/>
        <v>8619.4638000000014</v>
      </c>
    </row>
    <row r="445" spans="2:12" x14ac:dyDescent="0.25">
      <c r="B445" s="68" t="s">
        <v>23</v>
      </c>
      <c r="C445" s="44">
        <v>45880</v>
      </c>
      <c r="D445" s="35">
        <v>1200</v>
      </c>
      <c r="F445" s="67" t="s">
        <v>401</v>
      </c>
      <c r="G445" s="41" t="s">
        <v>80</v>
      </c>
      <c r="H445" s="41" t="s">
        <v>398</v>
      </c>
      <c r="I445" s="42" t="s">
        <v>402</v>
      </c>
      <c r="J445" s="41" t="s">
        <v>99</v>
      </c>
      <c r="K445" s="40"/>
      <c r="L445" s="28">
        <f t="shared" ca="1" si="25"/>
        <v>9819.4638000000014</v>
      </c>
    </row>
    <row r="446" spans="2:12" x14ac:dyDescent="0.25">
      <c r="B446" s="68" t="s">
        <v>23</v>
      </c>
      <c r="C446" s="44">
        <v>45881</v>
      </c>
      <c r="D446" s="35">
        <v>400</v>
      </c>
      <c r="F446" s="67" t="s">
        <v>397</v>
      </c>
      <c r="G446" s="41" t="s">
        <v>80</v>
      </c>
      <c r="H446" s="41" t="s">
        <v>396</v>
      </c>
      <c r="I446" s="42" t="s">
        <v>387</v>
      </c>
      <c r="J446" s="41" t="s">
        <v>99</v>
      </c>
      <c r="K446" s="40"/>
      <c r="L446" s="28">
        <f t="shared" ca="1" si="25"/>
        <v>10219.463800000001</v>
      </c>
    </row>
    <row r="447" spans="2:12" x14ac:dyDescent="0.25">
      <c r="B447" s="68" t="s">
        <v>23</v>
      </c>
      <c r="C447" s="44">
        <v>45881</v>
      </c>
      <c r="D447" s="35">
        <v>650</v>
      </c>
      <c r="F447" s="67" t="s">
        <v>397</v>
      </c>
      <c r="G447" s="41" t="s">
        <v>80</v>
      </c>
      <c r="H447" s="41" t="s">
        <v>399</v>
      </c>
      <c r="I447" s="42" t="s">
        <v>400</v>
      </c>
      <c r="J447" s="41" t="s">
        <v>100</v>
      </c>
      <c r="K447" s="40"/>
      <c r="L447" s="28">
        <f t="shared" ca="1" si="25"/>
        <v>10869.463800000001</v>
      </c>
    </row>
    <row r="448" spans="2:12" x14ac:dyDescent="0.25">
      <c r="B448" s="68" t="s">
        <v>22</v>
      </c>
      <c r="C448" s="44">
        <v>45881</v>
      </c>
      <c r="D448" s="35"/>
      <c r="E448" s="35">
        <v>10745</v>
      </c>
      <c r="F448" s="67" t="s">
        <v>195</v>
      </c>
      <c r="G448" s="41" t="s">
        <v>107</v>
      </c>
      <c r="H448" s="41" t="s">
        <v>78</v>
      </c>
      <c r="I448" s="42"/>
      <c r="J448" s="41" t="s">
        <v>103</v>
      </c>
      <c r="K448" s="40"/>
      <c r="L448" s="28">
        <f ca="1">IF(ISERROR(OFFSET(L448,-1,0,1,1)+D448-E448),D448-E448,OFFSET(L448,-1,0,1,1)+D448-E448)</f>
        <v>124.46380000000136</v>
      </c>
    </row>
    <row r="449" spans="2:12" x14ac:dyDescent="0.25">
      <c r="B449" s="68" t="s">
        <v>22</v>
      </c>
      <c r="C449" s="44">
        <v>45882</v>
      </c>
      <c r="D449" s="35">
        <v>2000</v>
      </c>
      <c r="F449" s="67" t="s">
        <v>395</v>
      </c>
      <c r="G449" s="41" t="s">
        <v>80</v>
      </c>
      <c r="H449" s="41" t="s">
        <v>407</v>
      </c>
      <c r="I449" s="42" t="s">
        <v>381</v>
      </c>
      <c r="J449" s="41" t="s">
        <v>99</v>
      </c>
      <c r="K449" s="41"/>
      <c r="L449" s="28">
        <f t="shared" ref="L449:L499" ca="1" si="26">IF(ISERROR(OFFSET(L449,-1,0,1,1)+D449-E449),D449-E449,OFFSET(L449,-1,0,1,1)+D449-E449)</f>
        <v>2124.4638000000014</v>
      </c>
    </row>
    <row r="450" spans="2:12" x14ac:dyDescent="0.25">
      <c r="B450" s="68" t="s">
        <v>23</v>
      </c>
      <c r="C450" s="44">
        <v>45882</v>
      </c>
      <c r="D450" s="35">
        <v>1750</v>
      </c>
      <c r="F450" s="67" t="s">
        <v>395</v>
      </c>
      <c r="G450" s="41" t="s">
        <v>80</v>
      </c>
      <c r="H450" s="41" t="s">
        <v>407</v>
      </c>
      <c r="I450" s="42" t="s">
        <v>381</v>
      </c>
      <c r="J450" s="41" t="s">
        <v>99</v>
      </c>
      <c r="K450" s="40"/>
      <c r="L450" s="28">
        <f t="shared" ca="1" si="26"/>
        <v>3874.4638000000014</v>
      </c>
    </row>
    <row r="451" spans="2:12" x14ac:dyDescent="0.25">
      <c r="B451" s="68" t="s">
        <v>22</v>
      </c>
      <c r="C451" s="44">
        <v>45882</v>
      </c>
      <c r="D451" s="35">
        <v>1200</v>
      </c>
      <c r="F451" s="67" t="s">
        <v>368</v>
      </c>
      <c r="G451" s="41" t="s">
        <v>80</v>
      </c>
      <c r="H451" s="41" t="s">
        <v>419</v>
      </c>
      <c r="I451" s="42" t="s">
        <v>403</v>
      </c>
      <c r="J451" s="41" t="s">
        <v>99</v>
      </c>
      <c r="K451" s="40"/>
      <c r="L451" s="28">
        <f t="shared" ca="1" si="26"/>
        <v>5074.4638000000014</v>
      </c>
    </row>
    <row r="452" spans="2:12" x14ac:dyDescent="0.25">
      <c r="B452" s="68" t="s">
        <v>22</v>
      </c>
      <c r="C452" s="44">
        <v>45882</v>
      </c>
      <c r="D452" s="35">
        <v>65</v>
      </c>
      <c r="F452" s="67" t="s">
        <v>368</v>
      </c>
      <c r="G452" s="41" t="s">
        <v>80</v>
      </c>
      <c r="H452" s="41" t="s">
        <v>431</v>
      </c>
      <c r="I452" s="42" t="s">
        <v>432</v>
      </c>
      <c r="J452" s="41" t="s">
        <v>100</v>
      </c>
      <c r="K452" s="40"/>
      <c r="L452" s="28">
        <f t="shared" ca="1" si="26"/>
        <v>5139.4638000000014</v>
      </c>
    </row>
    <row r="453" spans="2:12" x14ac:dyDescent="0.25">
      <c r="B453" s="68" t="s">
        <v>22</v>
      </c>
      <c r="C453" s="44">
        <v>45882</v>
      </c>
      <c r="D453" s="35">
        <v>2000</v>
      </c>
      <c r="F453" s="67" t="s">
        <v>316</v>
      </c>
      <c r="G453" s="41" t="s">
        <v>80</v>
      </c>
      <c r="H453" s="41" t="s">
        <v>414</v>
      </c>
      <c r="I453" s="42" t="s">
        <v>333</v>
      </c>
      <c r="J453" s="41" t="s">
        <v>43</v>
      </c>
      <c r="K453" s="40"/>
      <c r="L453" s="28">
        <f ca="1">IF(ISERROR(OFFSET(L453,-1,0,1,1)+D453-E453),D453-E453,OFFSET(L453,-1,0,1,1)+D453-E453)</f>
        <v>7139.4638000000014</v>
      </c>
    </row>
    <row r="454" spans="2:12" x14ac:dyDescent="0.25">
      <c r="B454" s="68" t="s">
        <v>22</v>
      </c>
      <c r="C454" s="44">
        <v>45883</v>
      </c>
      <c r="D454" s="35">
        <v>1800</v>
      </c>
      <c r="F454" s="67" t="s">
        <v>418</v>
      </c>
      <c r="G454" s="41" t="s">
        <v>80</v>
      </c>
      <c r="H454" s="41" t="s">
        <v>421</v>
      </c>
      <c r="I454" s="42" t="s">
        <v>296</v>
      </c>
      <c r="J454" s="41" t="s">
        <v>99</v>
      </c>
      <c r="K454" s="40"/>
      <c r="L454" s="28">
        <f t="shared" ca="1" si="26"/>
        <v>8939.4638000000014</v>
      </c>
    </row>
    <row r="455" spans="2:12" x14ac:dyDescent="0.25">
      <c r="B455" s="68" t="s">
        <v>23</v>
      </c>
      <c r="C455" s="44">
        <v>45884</v>
      </c>
      <c r="D455" s="35">
        <v>1800</v>
      </c>
      <c r="F455" s="67" t="s">
        <v>406</v>
      </c>
      <c r="G455" s="41" t="s">
        <v>80</v>
      </c>
      <c r="H455" s="41" t="s">
        <v>422</v>
      </c>
      <c r="I455" s="42" t="s">
        <v>296</v>
      </c>
      <c r="J455" s="41" t="s">
        <v>99</v>
      </c>
      <c r="K455" s="40"/>
      <c r="L455" s="28">
        <f t="shared" ca="1" si="26"/>
        <v>10739.463800000001</v>
      </c>
    </row>
    <row r="456" spans="2:12" x14ac:dyDescent="0.25">
      <c r="B456" s="68" t="s">
        <v>22</v>
      </c>
      <c r="C456" s="39">
        <v>45885</v>
      </c>
      <c r="D456" s="35">
        <v>360</v>
      </c>
      <c r="F456" s="64" t="s">
        <v>382</v>
      </c>
      <c r="G456" s="41" t="s">
        <v>80</v>
      </c>
      <c r="H456" s="41" t="s">
        <v>425</v>
      </c>
      <c r="I456" s="42" t="s">
        <v>423</v>
      </c>
      <c r="J456" s="41" t="s">
        <v>99</v>
      </c>
      <c r="K456" s="40"/>
      <c r="L456" s="28">
        <f t="shared" ca="1" si="26"/>
        <v>11099.463800000001</v>
      </c>
    </row>
    <row r="457" spans="2:12" x14ac:dyDescent="0.25">
      <c r="B457" s="68" t="s">
        <v>22</v>
      </c>
      <c r="C457" s="39">
        <v>45885</v>
      </c>
      <c r="D457" s="35">
        <v>2700</v>
      </c>
      <c r="F457" s="64" t="s">
        <v>420</v>
      </c>
      <c r="G457" s="41" t="s">
        <v>80</v>
      </c>
      <c r="H457" s="41" t="s">
        <v>427</v>
      </c>
      <c r="I457" s="42" t="s">
        <v>297</v>
      </c>
      <c r="J457" s="41" t="s">
        <v>99</v>
      </c>
      <c r="K457" s="40"/>
      <c r="L457" s="28">
        <f t="shared" ca="1" si="26"/>
        <v>13799.463800000001</v>
      </c>
    </row>
    <row r="458" spans="2:12" x14ac:dyDescent="0.25">
      <c r="B458" s="68" t="s">
        <v>23</v>
      </c>
      <c r="C458" s="39">
        <v>45885</v>
      </c>
      <c r="D458" s="35">
        <v>4500</v>
      </c>
      <c r="F458" s="64" t="s">
        <v>420</v>
      </c>
      <c r="G458" s="41" t="s">
        <v>80</v>
      </c>
      <c r="H458" s="41" t="s">
        <v>427</v>
      </c>
      <c r="I458" s="42" t="s">
        <v>297</v>
      </c>
      <c r="J458" s="41" t="s">
        <v>99</v>
      </c>
      <c r="K458" s="40"/>
      <c r="L458" s="28">
        <f ca="1">IF(ISERROR(OFFSET(L458,-1,0,1,1)+D458-E458),D458-E458,OFFSET(L458,-1,0,1,1)+D458-E458)</f>
        <v>18299.463800000001</v>
      </c>
    </row>
    <row r="459" spans="2:12" x14ac:dyDescent="0.25">
      <c r="B459" s="68" t="s">
        <v>22</v>
      </c>
      <c r="C459" s="44">
        <v>45885</v>
      </c>
      <c r="D459" s="35"/>
      <c r="E459" s="35">
        <v>4500</v>
      </c>
      <c r="F459" s="67" t="s">
        <v>171</v>
      </c>
      <c r="G459" s="41" t="s">
        <v>80</v>
      </c>
      <c r="H459" s="41" t="s">
        <v>108</v>
      </c>
      <c r="I459" s="69"/>
      <c r="J459" s="41" t="s">
        <v>65</v>
      </c>
      <c r="K459" s="40"/>
      <c r="L459" s="28">
        <f t="shared" ca="1" si="26"/>
        <v>13799.463800000001</v>
      </c>
    </row>
    <row r="460" spans="2:12" x14ac:dyDescent="0.25">
      <c r="B460" s="68" t="s">
        <v>23</v>
      </c>
      <c r="C460" s="44">
        <v>45885</v>
      </c>
      <c r="D460" s="35"/>
      <c r="E460" s="35">
        <v>3500</v>
      </c>
      <c r="F460" s="67" t="s">
        <v>172</v>
      </c>
      <c r="G460" s="41" t="s">
        <v>80</v>
      </c>
      <c r="H460" s="41" t="s">
        <v>108</v>
      </c>
      <c r="I460" s="69"/>
      <c r="J460" s="41" t="s">
        <v>65</v>
      </c>
      <c r="K460" s="40"/>
      <c r="L460" s="28">
        <f t="shared" ca="1" si="26"/>
        <v>10299.463800000001</v>
      </c>
    </row>
    <row r="461" spans="2:12" x14ac:dyDescent="0.25">
      <c r="B461" s="68" t="s">
        <v>23</v>
      </c>
      <c r="C461" s="44">
        <v>45885</v>
      </c>
      <c r="D461" s="35"/>
      <c r="E461" s="35">
        <v>400</v>
      </c>
      <c r="F461" s="67" t="s">
        <v>172</v>
      </c>
      <c r="G461" s="41" t="s">
        <v>80</v>
      </c>
      <c r="H461" s="41" t="s">
        <v>135</v>
      </c>
      <c r="I461" s="69"/>
      <c r="J461" s="41" t="s">
        <v>48</v>
      </c>
      <c r="K461" s="40"/>
      <c r="L461" s="28">
        <f t="shared" ca="1" si="26"/>
        <v>9899.4638000000014</v>
      </c>
    </row>
    <row r="462" spans="2:12" x14ac:dyDescent="0.25">
      <c r="B462" s="68" t="s">
        <v>23</v>
      </c>
      <c r="C462" s="44">
        <v>45885</v>
      </c>
      <c r="D462" s="35"/>
      <c r="E462" s="35">
        <v>2000</v>
      </c>
      <c r="F462" s="67" t="s">
        <v>173</v>
      </c>
      <c r="G462" s="41" t="s">
        <v>80</v>
      </c>
      <c r="H462" s="41" t="s">
        <v>108</v>
      </c>
      <c r="I462" s="69"/>
      <c r="J462" s="41" t="s">
        <v>65</v>
      </c>
      <c r="K462" s="40"/>
      <c r="L462" s="28">
        <f t="shared" ca="1" si="26"/>
        <v>7899.4638000000014</v>
      </c>
    </row>
    <row r="463" spans="2:12" x14ac:dyDescent="0.25">
      <c r="B463" s="68" t="s">
        <v>23</v>
      </c>
      <c r="C463" s="44">
        <v>45885</v>
      </c>
      <c r="D463" s="35"/>
      <c r="E463" s="35">
        <v>400</v>
      </c>
      <c r="F463" s="64" t="s">
        <v>173</v>
      </c>
      <c r="G463" s="41" t="s">
        <v>80</v>
      </c>
      <c r="H463" s="41" t="s">
        <v>135</v>
      </c>
      <c r="I463" s="42"/>
      <c r="J463" s="41" t="s">
        <v>48</v>
      </c>
      <c r="K463" s="40"/>
      <c r="L463" s="28">
        <f t="shared" ca="1" si="26"/>
        <v>7499.4638000000014</v>
      </c>
    </row>
    <row r="464" spans="2:12" x14ac:dyDescent="0.25">
      <c r="B464" s="68" t="s">
        <v>22</v>
      </c>
      <c r="C464" s="44">
        <v>45885</v>
      </c>
      <c r="D464" s="35"/>
      <c r="E464" s="35">
        <v>800</v>
      </c>
      <c r="F464" s="64" t="s">
        <v>79</v>
      </c>
      <c r="G464" s="41" t="s">
        <v>80</v>
      </c>
      <c r="H464" s="41" t="s">
        <v>108</v>
      </c>
      <c r="I464" s="69"/>
      <c r="J464" s="41" t="s">
        <v>65</v>
      </c>
      <c r="K464" s="40"/>
      <c r="L464" s="28">
        <f t="shared" ca="1" si="26"/>
        <v>6699.4638000000014</v>
      </c>
    </row>
    <row r="465" spans="2:12" x14ac:dyDescent="0.25">
      <c r="B465" s="68" t="s">
        <v>22</v>
      </c>
      <c r="C465" s="44">
        <v>45885</v>
      </c>
      <c r="D465" s="35"/>
      <c r="E465" s="35">
        <v>400</v>
      </c>
      <c r="F465" s="64" t="s">
        <v>79</v>
      </c>
      <c r="G465" s="41" t="s">
        <v>80</v>
      </c>
      <c r="H465" s="41" t="s">
        <v>135</v>
      </c>
      <c r="I465" s="69"/>
      <c r="J465" s="41" t="s">
        <v>48</v>
      </c>
      <c r="K465" s="40"/>
      <c r="L465" s="28">
        <f t="shared" ca="1" si="26"/>
        <v>6299.4638000000014</v>
      </c>
    </row>
    <row r="466" spans="2:12" x14ac:dyDescent="0.25">
      <c r="B466" s="68" t="s">
        <v>23</v>
      </c>
      <c r="C466" s="44">
        <v>45885</v>
      </c>
      <c r="D466" s="35"/>
      <c r="E466" s="35">
        <v>2050</v>
      </c>
      <c r="F466" s="67" t="s">
        <v>98</v>
      </c>
      <c r="G466" s="41" t="s">
        <v>80</v>
      </c>
      <c r="H466" s="41" t="s">
        <v>108</v>
      </c>
      <c r="I466" s="42"/>
      <c r="J466" s="41" t="s">
        <v>65</v>
      </c>
      <c r="K466" s="40"/>
      <c r="L466" s="28">
        <f t="shared" ca="1" si="26"/>
        <v>4249.4638000000014</v>
      </c>
    </row>
    <row r="467" spans="2:12" x14ac:dyDescent="0.25">
      <c r="B467" s="68" t="s">
        <v>23</v>
      </c>
      <c r="C467" s="44">
        <v>45885</v>
      </c>
      <c r="D467" s="35"/>
      <c r="E467" s="35">
        <v>400</v>
      </c>
      <c r="F467" s="67" t="s">
        <v>98</v>
      </c>
      <c r="G467" s="41" t="s">
        <v>80</v>
      </c>
      <c r="H467" s="41" t="s">
        <v>135</v>
      </c>
      <c r="I467" s="42"/>
      <c r="J467" s="41" t="s">
        <v>48</v>
      </c>
      <c r="K467" s="40"/>
      <c r="L467" s="28">
        <f t="shared" ca="1" si="26"/>
        <v>3849.4638000000014</v>
      </c>
    </row>
    <row r="468" spans="2:12" x14ac:dyDescent="0.25">
      <c r="B468" s="68" t="s">
        <v>23</v>
      </c>
      <c r="C468" s="39">
        <v>45887</v>
      </c>
      <c r="D468" s="35">
        <v>30</v>
      </c>
      <c r="F468" s="67" t="s">
        <v>424</v>
      </c>
      <c r="G468" s="41" t="s">
        <v>80</v>
      </c>
      <c r="H468" s="41" t="s">
        <v>462</v>
      </c>
      <c r="I468" s="42" t="s">
        <v>426</v>
      </c>
      <c r="J468" s="41" t="s">
        <v>99</v>
      </c>
      <c r="K468" s="40"/>
      <c r="L468" s="28">
        <f t="shared" ca="1" si="26"/>
        <v>3879.4638000000014</v>
      </c>
    </row>
    <row r="469" spans="2:12" x14ac:dyDescent="0.25">
      <c r="B469" s="68" t="s">
        <v>23</v>
      </c>
      <c r="C469" s="39">
        <v>45887</v>
      </c>
      <c r="D469" s="35">
        <v>60</v>
      </c>
      <c r="F469" s="67" t="s">
        <v>424</v>
      </c>
      <c r="G469" s="41" t="s">
        <v>80</v>
      </c>
      <c r="H469" s="41" t="s">
        <v>433</v>
      </c>
      <c r="I469" s="42" t="s">
        <v>432</v>
      </c>
      <c r="J469" s="41" t="s">
        <v>100</v>
      </c>
      <c r="K469" s="40"/>
      <c r="L469" s="28">
        <f t="shared" ca="1" si="26"/>
        <v>3939.4638000000014</v>
      </c>
    </row>
    <row r="470" spans="2:12" x14ac:dyDescent="0.25">
      <c r="B470" s="68" t="s">
        <v>23</v>
      </c>
      <c r="C470" s="44">
        <v>45887</v>
      </c>
      <c r="D470" s="35"/>
      <c r="E470" s="35">
        <v>2196</v>
      </c>
      <c r="F470" s="67" t="s">
        <v>309</v>
      </c>
      <c r="G470" s="41" t="s">
        <v>408</v>
      </c>
      <c r="H470" s="41" t="s">
        <v>78</v>
      </c>
      <c r="I470" s="42" t="s">
        <v>146</v>
      </c>
      <c r="J470" s="41" t="s">
        <v>103</v>
      </c>
      <c r="K470" s="40"/>
      <c r="L470" s="28">
        <f t="shared" ca="1" si="26"/>
        <v>1743.4638000000014</v>
      </c>
    </row>
    <row r="471" spans="2:12" x14ac:dyDescent="0.25">
      <c r="B471" s="68" t="s">
        <v>23</v>
      </c>
      <c r="C471" s="44">
        <v>45887</v>
      </c>
      <c r="D471" s="35"/>
      <c r="E471" s="35">
        <v>639</v>
      </c>
      <c r="F471" s="67" t="s">
        <v>309</v>
      </c>
      <c r="G471" s="41" t="s">
        <v>408</v>
      </c>
      <c r="H471" s="41" t="s">
        <v>78</v>
      </c>
      <c r="I471" s="42" t="s">
        <v>409</v>
      </c>
      <c r="J471" s="41" t="s">
        <v>367</v>
      </c>
      <c r="K471" s="40"/>
      <c r="L471" s="28">
        <f t="shared" ca="1" si="26"/>
        <v>1104.4638000000014</v>
      </c>
    </row>
    <row r="472" spans="2:12" x14ac:dyDescent="0.25">
      <c r="B472" s="68" t="s">
        <v>23</v>
      </c>
      <c r="C472" s="44">
        <v>45887</v>
      </c>
      <c r="D472" s="35"/>
      <c r="E472" s="35">
        <v>25</v>
      </c>
      <c r="F472" s="67" t="s">
        <v>410</v>
      </c>
      <c r="G472" s="41" t="s">
        <v>80</v>
      </c>
      <c r="H472" s="41" t="s">
        <v>78</v>
      </c>
      <c r="I472" s="42" t="s">
        <v>411</v>
      </c>
      <c r="J472" s="41" t="s">
        <v>367</v>
      </c>
      <c r="K472" s="40"/>
      <c r="L472" s="28">
        <f t="shared" ca="1" si="26"/>
        <v>1079.4638000000014</v>
      </c>
    </row>
    <row r="473" spans="2:12" x14ac:dyDescent="0.25">
      <c r="B473" s="68" t="s">
        <v>22</v>
      </c>
      <c r="C473" s="44">
        <v>45888</v>
      </c>
      <c r="D473" s="35">
        <v>127.5</v>
      </c>
      <c r="F473" s="67" t="s">
        <v>434</v>
      </c>
      <c r="G473" s="41" t="s">
        <v>80</v>
      </c>
      <c r="H473" s="41" t="s">
        <v>463</v>
      </c>
      <c r="I473" s="42" t="s">
        <v>435</v>
      </c>
      <c r="J473" s="41" t="s">
        <v>99</v>
      </c>
      <c r="K473" s="40"/>
      <c r="L473" s="28">
        <f t="shared" ca="1" si="26"/>
        <v>1206.9638000000014</v>
      </c>
    </row>
    <row r="474" spans="2:12" x14ac:dyDescent="0.25">
      <c r="B474" s="68" t="s">
        <v>23</v>
      </c>
      <c r="C474" s="44">
        <v>45889</v>
      </c>
      <c r="D474" s="35">
        <v>420</v>
      </c>
      <c r="F474" s="67" t="s">
        <v>429</v>
      </c>
      <c r="G474" s="41" t="s">
        <v>80</v>
      </c>
      <c r="H474" s="41" t="s">
        <v>464</v>
      </c>
      <c r="I474" s="42" t="s">
        <v>430</v>
      </c>
      <c r="J474" s="41" t="s">
        <v>99</v>
      </c>
      <c r="K474" s="40"/>
      <c r="L474" s="28">
        <f t="shared" ca="1" si="26"/>
        <v>1626.9638000000014</v>
      </c>
    </row>
    <row r="475" spans="2:12" x14ac:dyDescent="0.25">
      <c r="B475" s="68" t="s">
        <v>23</v>
      </c>
      <c r="C475" s="44">
        <v>45889</v>
      </c>
      <c r="D475" s="35">
        <v>60</v>
      </c>
      <c r="E475" s="62"/>
      <c r="F475" s="67" t="s">
        <v>429</v>
      </c>
      <c r="G475" s="41" t="s">
        <v>80</v>
      </c>
      <c r="H475" s="41" t="s">
        <v>480</v>
      </c>
      <c r="I475" s="42" t="s">
        <v>432</v>
      </c>
      <c r="J475" s="41" t="s">
        <v>100</v>
      </c>
      <c r="K475" s="64"/>
      <c r="L475" s="28">
        <f t="shared" ca="1" si="26"/>
        <v>1686.9638000000014</v>
      </c>
    </row>
    <row r="476" spans="2:12" x14ac:dyDescent="0.25">
      <c r="B476" s="68" t="s">
        <v>22</v>
      </c>
      <c r="C476" s="44">
        <v>45891</v>
      </c>
      <c r="D476" s="35">
        <v>1500</v>
      </c>
      <c r="E476" s="62"/>
      <c r="F476" s="67" t="s">
        <v>481</v>
      </c>
      <c r="G476" s="41" t="s">
        <v>80</v>
      </c>
      <c r="H476" s="41"/>
      <c r="I476" s="42" t="s">
        <v>482</v>
      </c>
      <c r="J476" s="41" t="s">
        <v>99</v>
      </c>
      <c r="K476" s="40"/>
      <c r="L476" s="28">
        <f ca="1">IF(ISERROR(OFFSET(L476,-1,0,1,1)+D476-E476),D476-E476,OFFSET(L476,-1,0,1,1)+D476-E476)</f>
        <v>3186.9638000000014</v>
      </c>
    </row>
    <row r="477" spans="2:12" x14ac:dyDescent="0.25">
      <c r="B477" s="68" t="s">
        <v>23</v>
      </c>
      <c r="C477" s="44">
        <v>45892</v>
      </c>
      <c r="D477" s="35"/>
      <c r="E477" s="62">
        <v>200</v>
      </c>
      <c r="F477" s="67" t="s">
        <v>245</v>
      </c>
      <c r="G477" s="41" t="s">
        <v>80</v>
      </c>
      <c r="H477" s="41" t="s">
        <v>78</v>
      </c>
      <c r="I477" s="42" t="s">
        <v>246</v>
      </c>
      <c r="J477" s="41" t="s">
        <v>36</v>
      </c>
      <c r="K477" s="40"/>
      <c r="L477" s="28">
        <f t="shared" ca="1" si="26"/>
        <v>2986.9638000000014</v>
      </c>
    </row>
    <row r="478" spans="2:12" x14ac:dyDescent="0.25">
      <c r="B478" s="68" t="s">
        <v>191</v>
      </c>
      <c r="C478" s="44">
        <v>45896</v>
      </c>
      <c r="D478" s="35"/>
      <c r="E478" s="35">
        <v>580</v>
      </c>
      <c r="F478" s="68" t="s">
        <v>410</v>
      </c>
      <c r="G478" s="41" t="s">
        <v>80</v>
      </c>
      <c r="H478" s="41" t="s">
        <v>78</v>
      </c>
      <c r="I478" s="42" t="s">
        <v>411</v>
      </c>
      <c r="J478" s="41" t="s">
        <v>367</v>
      </c>
      <c r="K478" s="40"/>
      <c r="L478" s="28">
        <f t="shared" ca="1" si="26"/>
        <v>2406.9638000000014</v>
      </c>
    </row>
    <row r="479" spans="2:12" x14ac:dyDescent="0.25">
      <c r="B479" s="68" t="s">
        <v>23</v>
      </c>
      <c r="C479" s="39">
        <v>45892</v>
      </c>
      <c r="D479" s="35">
        <v>3000</v>
      </c>
      <c r="F479" s="67" t="s">
        <v>465</v>
      </c>
      <c r="G479" s="41" t="s">
        <v>80</v>
      </c>
      <c r="H479" s="41" t="s">
        <v>467</v>
      </c>
      <c r="I479" s="42">
        <v>2500</v>
      </c>
      <c r="J479" s="41" t="s">
        <v>99</v>
      </c>
      <c r="K479" s="40"/>
      <c r="L479" s="28">
        <f t="shared" ca="1" si="26"/>
        <v>5406.9638000000014</v>
      </c>
    </row>
    <row r="480" spans="2:12" x14ac:dyDescent="0.25">
      <c r="B480" s="68" t="s">
        <v>23</v>
      </c>
      <c r="C480" s="39">
        <v>45898</v>
      </c>
      <c r="D480" s="35">
        <v>480</v>
      </c>
      <c r="F480" s="67" t="s">
        <v>466</v>
      </c>
      <c r="G480" s="41" t="s">
        <v>80</v>
      </c>
      <c r="H480" s="41" t="s">
        <v>468</v>
      </c>
      <c r="I480" s="42">
        <v>400</v>
      </c>
      <c r="J480" s="41" t="s">
        <v>99</v>
      </c>
      <c r="K480" s="40"/>
      <c r="L480" s="28">
        <f t="shared" ca="1" si="26"/>
        <v>5886.9638000000014</v>
      </c>
    </row>
    <row r="481" spans="2:12" x14ac:dyDescent="0.25">
      <c r="B481" s="68" t="s">
        <v>22</v>
      </c>
      <c r="C481" s="39">
        <v>45898</v>
      </c>
      <c r="D481" s="35">
        <v>10000</v>
      </c>
      <c r="F481" s="67" t="s">
        <v>302</v>
      </c>
      <c r="G481" s="41" t="s">
        <v>80</v>
      </c>
      <c r="H481" s="41" t="s">
        <v>471</v>
      </c>
      <c r="I481" s="42"/>
      <c r="J481" s="41" t="s">
        <v>99</v>
      </c>
      <c r="K481" s="40"/>
      <c r="L481" s="28">
        <f ca="1">IF(ISERROR(OFFSET(L481,-1,0,1,1)+D481-E481),D481-E481,OFFSET(L481,-1,0,1,1)+D481-E481)</f>
        <v>15886.963800000001</v>
      </c>
    </row>
    <row r="482" spans="2:12" x14ac:dyDescent="0.25">
      <c r="B482" s="68" t="s">
        <v>22</v>
      </c>
      <c r="C482" s="39">
        <v>45898</v>
      </c>
      <c r="D482" s="35">
        <v>2000</v>
      </c>
      <c r="F482" s="67" t="s">
        <v>316</v>
      </c>
      <c r="G482" s="41" t="s">
        <v>80</v>
      </c>
      <c r="H482" s="41" t="s">
        <v>414</v>
      </c>
      <c r="I482" s="42" t="s">
        <v>333</v>
      </c>
      <c r="J482" s="41" t="s">
        <v>43</v>
      </c>
      <c r="K482" s="40"/>
      <c r="L482" s="28">
        <f ca="1">IF(ISERROR(OFFSET(L482,-1,0,1,1)+D482-E482),D482-E482,OFFSET(L482,-1,0,1,1)+D482-E482)</f>
        <v>17886.963800000001</v>
      </c>
    </row>
    <row r="483" spans="2:12" x14ac:dyDescent="0.25">
      <c r="B483" s="68" t="s">
        <v>22</v>
      </c>
      <c r="C483" s="39">
        <v>45899</v>
      </c>
      <c r="D483" s="35">
        <v>1440</v>
      </c>
      <c r="F483" s="67" t="s">
        <v>368</v>
      </c>
      <c r="G483" s="41" t="s">
        <v>80</v>
      </c>
      <c r="H483" s="41" t="s">
        <v>469</v>
      </c>
      <c r="I483" s="42">
        <v>1200</v>
      </c>
      <c r="J483" s="41" t="s">
        <v>99</v>
      </c>
      <c r="K483" s="40"/>
      <c r="L483" s="28">
        <f t="shared" ca="1" si="26"/>
        <v>19326.963800000001</v>
      </c>
    </row>
    <row r="484" spans="2:12" x14ac:dyDescent="0.25">
      <c r="B484" s="68" t="s">
        <v>22</v>
      </c>
      <c r="C484" s="39">
        <v>45899</v>
      </c>
      <c r="D484" s="35">
        <v>360</v>
      </c>
      <c r="F484" s="67" t="s">
        <v>382</v>
      </c>
      <c r="G484" s="41" t="s">
        <v>80</v>
      </c>
      <c r="H484" s="41" t="s">
        <v>470</v>
      </c>
      <c r="I484" s="42">
        <v>300</v>
      </c>
      <c r="J484" s="41" t="s">
        <v>99</v>
      </c>
      <c r="K484" s="40"/>
      <c r="L484" s="28">
        <f t="shared" ca="1" si="26"/>
        <v>19686.963800000001</v>
      </c>
    </row>
    <row r="485" spans="2:12" x14ac:dyDescent="0.25">
      <c r="B485" s="68" t="s">
        <v>23</v>
      </c>
      <c r="C485" s="44">
        <v>45899</v>
      </c>
      <c r="D485" s="35"/>
      <c r="E485" s="35">
        <v>4500</v>
      </c>
      <c r="F485" s="67" t="s">
        <v>171</v>
      </c>
      <c r="G485" s="41" t="s">
        <v>80</v>
      </c>
      <c r="H485" s="41" t="s">
        <v>108</v>
      </c>
      <c r="I485" s="69"/>
      <c r="J485" s="41" t="s">
        <v>65</v>
      </c>
      <c r="K485" s="40"/>
      <c r="L485" s="28">
        <f t="shared" ca="1" si="26"/>
        <v>15186.963800000001</v>
      </c>
    </row>
    <row r="486" spans="2:12" x14ac:dyDescent="0.25">
      <c r="B486" s="68" t="s">
        <v>22</v>
      </c>
      <c r="C486" s="44">
        <v>45899</v>
      </c>
      <c r="D486" s="35"/>
      <c r="E486" s="35">
        <v>3500</v>
      </c>
      <c r="F486" s="67" t="s">
        <v>172</v>
      </c>
      <c r="G486" s="41" t="s">
        <v>80</v>
      </c>
      <c r="H486" s="41" t="s">
        <v>108</v>
      </c>
      <c r="I486" s="69"/>
      <c r="J486" s="41" t="s">
        <v>65</v>
      </c>
      <c r="K486" s="40"/>
      <c r="L486" s="28">
        <f t="shared" ca="1" si="26"/>
        <v>11686.963800000001</v>
      </c>
    </row>
    <row r="487" spans="2:12" x14ac:dyDescent="0.25">
      <c r="B487" s="68" t="s">
        <v>22</v>
      </c>
      <c r="C487" s="44">
        <v>45899</v>
      </c>
      <c r="D487" s="35"/>
      <c r="E487" s="35">
        <v>400</v>
      </c>
      <c r="F487" s="67" t="s">
        <v>172</v>
      </c>
      <c r="G487" s="41" t="s">
        <v>80</v>
      </c>
      <c r="H487" s="41" t="s">
        <v>135</v>
      </c>
      <c r="I487" s="69"/>
      <c r="J487" s="41" t="s">
        <v>48</v>
      </c>
      <c r="K487" s="40"/>
      <c r="L487" s="28">
        <f t="shared" ca="1" si="26"/>
        <v>11286.963800000001</v>
      </c>
    </row>
    <row r="488" spans="2:12" x14ac:dyDescent="0.25">
      <c r="B488" s="68" t="s">
        <v>22</v>
      </c>
      <c r="C488" s="44">
        <v>45899</v>
      </c>
      <c r="D488" s="35"/>
      <c r="E488" s="35">
        <v>2000</v>
      </c>
      <c r="F488" s="67" t="s">
        <v>173</v>
      </c>
      <c r="G488" s="41" t="s">
        <v>80</v>
      </c>
      <c r="H488" s="41" t="s">
        <v>108</v>
      </c>
      <c r="I488" s="69"/>
      <c r="J488" s="41" t="s">
        <v>65</v>
      </c>
      <c r="K488" s="40"/>
      <c r="L488" s="28">
        <f t="shared" ca="1" si="26"/>
        <v>9286.9638000000014</v>
      </c>
    </row>
    <row r="489" spans="2:12" x14ac:dyDescent="0.25">
      <c r="B489" s="68" t="s">
        <v>22</v>
      </c>
      <c r="C489" s="44">
        <v>45899</v>
      </c>
      <c r="D489" s="35"/>
      <c r="E489" s="35">
        <v>400</v>
      </c>
      <c r="F489" s="67" t="s">
        <v>173</v>
      </c>
      <c r="G489" s="41" t="s">
        <v>80</v>
      </c>
      <c r="H489" s="41" t="s">
        <v>135</v>
      </c>
      <c r="I489" s="42"/>
      <c r="J489" s="41" t="s">
        <v>48</v>
      </c>
      <c r="K489" s="40"/>
      <c r="L489" s="28">
        <f t="shared" ca="1" si="26"/>
        <v>8886.9638000000014</v>
      </c>
    </row>
    <row r="490" spans="2:12" x14ac:dyDescent="0.25">
      <c r="B490" s="68" t="s">
        <v>22</v>
      </c>
      <c r="C490" s="44">
        <v>45899</v>
      </c>
      <c r="D490" s="35"/>
      <c r="E490" s="35">
        <v>800</v>
      </c>
      <c r="F490" s="67" t="s">
        <v>79</v>
      </c>
      <c r="G490" s="41" t="s">
        <v>80</v>
      </c>
      <c r="H490" s="41" t="s">
        <v>108</v>
      </c>
      <c r="I490" s="69"/>
      <c r="J490" s="41" t="s">
        <v>65</v>
      </c>
      <c r="K490" s="40"/>
      <c r="L490" s="28">
        <f t="shared" ca="1" si="26"/>
        <v>8086.9638000000014</v>
      </c>
    </row>
    <row r="491" spans="2:12" x14ac:dyDescent="0.25">
      <c r="B491" s="68" t="s">
        <v>22</v>
      </c>
      <c r="C491" s="44">
        <v>45899</v>
      </c>
      <c r="D491" s="35"/>
      <c r="E491" s="35">
        <v>400</v>
      </c>
      <c r="F491" s="67" t="s">
        <v>79</v>
      </c>
      <c r="G491" s="41" t="s">
        <v>80</v>
      </c>
      <c r="H491" s="41" t="s">
        <v>135</v>
      </c>
      <c r="I491" s="69"/>
      <c r="J491" s="41" t="s">
        <v>48</v>
      </c>
      <c r="K491" s="40"/>
      <c r="L491" s="28">
        <f t="shared" ca="1" si="26"/>
        <v>7686.9638000000014</v>
      </c>
    </row>
    <row r="492" spans="2:12" x14ac:dyDescent="0.25">
      <c r="B492" s="68" t="s">
        <v>22</v>
      </c>
      <c r="C492" s="44">
        <v>45899</v>
      </c>
      <c r="D492" s="35"/>
      <c r="E492" s="35">
        <v>2050</v>
      </c>
      <c r="F492" s="67" t="s">
        <v>98</v>
      </c>
      <c r="G492" s="41" t="s">
        <v>80</v>
      </c>
      <c r="H492" s="41" t="s">
        <v>108</v>
      </c>
      <c r="I492" s="42"/>
      <c r="J492" s="41" t="s">
        <v>65</v>
      </c>
      <c r="K492" s="40"/>
      <c r="L492" s="28">
        <f t="shared" ca="1" si="26"/>
        <v>5636.9638000000014</v>
      </c>
    </row>
    <row r="493" spans="2:12" x14ac:dyDescent="0.25">
      <c r="B493" s="68" t="s">
        <v>22</v>
      </c>
      <c r="C493" s="44">
        <v>45899</v>
      </c>
      <c r="D493" s="35"/>
      <c r="E493" s="35">
        <v>400</v>
      </c>
      <c r="F493" s="67" t="s">
        <v>98</v>
      </c>
      <c r="G493" s="41" t="s">
        <v>80</v>
      </c>
      <c r="H493" s="41" t="s">
        <v>135</v>
      </c>
      <c r="I493" s="42"/>
      <c r="J493" s="41" t="s">
        <v>48</v>
      </c>
      <c r="K493" s="40"/>
      <c r="L493" s="28">
        <f t="shared" ca="1" si="26"/>
        <v>5236.9638000000014</v>
      </c>
    </row>
    <row r="494" spans="2:12" x14ac:dyDescent="0.25">
      <c r="B494" s="68" t="s">
        <v>22</v>
      </c>
      <c r="C494" s="44">
        <v>45899</v>
      </c>
      <c r="D494" s="35"/>
      <c r="E494" s="35">
        <v>422</v>
      </c>
      <c r="F494" s="67" t="s">
        <v>110</v>
      </c>
      <c r="G494" s="41" t="s">
        <v>80</v>
      </c>
      <c r="H494" s="41" t="s">
        <v>78</v>
      </c>
      <c r="I494" s="42" t="s">
        <v>476</v>
      </c>
      <c r="J494" s="41" t="s">
        <v>94</v>
      </c>
      <c r="K494" s="40"/>
      <c r="L494" s="28">
        <f t="shared" ca="1" si="26"/>
        <v>4814.9638000000014</v>
      </c>
    </row>
    <row r="495" spans="2:12" x14ac:dyDescent="0.25">
      <c r="B495" s="68" t="s">
        <v>22</v>
      </c>
      <c r="C495" s="44">
        <v>45900</v>
      </c>
      <c r="D495" s="35"/>
      <c r="E495" s="35">
        <v>1000</v>
      </c>
      <c r="F495" s="67" t="s">
        <v>347</v>
      </c>
      <c r="G495" s="41" t="s">
        <v>80</v>
      </c>
      <c r="H495" s="41" t="s">
        <v>78</v>
      </c>
      <c r="I495" s="42" t="s">
        <v>477</v>
      </c>
      <c r="J495" s="41" t="s">
        <v>12</v>
      </c>
      <c r="K495" s="40"/>
      <c r="L495" s="28">
        <f t="shared" ca="1" si="26"/>
        <v>3814.9638000000014</v>
      </c>
    </row>
    <row r="496" spans="2:12" x14ac:dyDescent="0.25">
      <c r="B496" s="68" t="s">
        <v>22</v>
      </c>
      <c r="C496" s="44">
        <v>45900</v>
      </c>
      <c r="D496" s="35">
        <v>5000</v>
      </c>
      <c r="F496" s="67" t="s">
        <v>302</v>
      </c>
      <c r="G496" s="41" t="s">
        <v>80</v>
      </c>
      <c r="H496" s="41" t="s">
        <v>471</v>
      </c>
      <c r="I496" s="42"/>
      <c r="J496" s="41" t="s">
        <v>99</v>
      </c>
      <c r="K496" s="40"/>
      <c r="L496" s="28">
        <f t="shared" ca="1" si="26"/>
        <v>8814.9638000000014</v>
      </c>
    </row>
    <row r="497" spans="2:12" x14ac:dyDescent="0.25">
      <c r="B497" s="68" t="s">
        <v>22</v>
      </c>
      <c r="C497" s="44">
        <v>45900</v>
      </c>
      <c r="D497" s="35">
        <v>5000</v>
      </c>
      <c r="F497" s="67" t="s">
        <v>302</v>
      </c>
      <c r="G497" s="41" t="s">
        <v>80</v>
      </c>
      <c r="H497" s="41" t="s">
        <v>472</v>
      </c>
      <c r="I497" s="42"/>
      <c r="J497" s="41" t="s">
        <v>99</v>
      </c>
      <c r="K497" s="40"/>
      <c r="L497" s="28">
        <f t="shared" ca="1" si="26"/>
        <v>13814.963800000001</v>
      </c>
    </row>
    <row r="498" spans="2:12" x14ac:dyDescent="0.25">
      <c r="B498" s="68" t="s">
        <v>22</v>
      </c>
      <c r="C498" s="44">
        <v>45900</v>
      </c>
      <c r="D498" s="35"/>
      <c r="E498" s="35">
        <v>7000</v>
      </c>
      <c r="F498" s="68" t="s">
        <v>171</v>
      </c>
      <c r="G498" s="41" t="s">
        <v>80</v>
      </c>
      <c r="H498" s="41" t="s">
        <v>108</v>
      </c>
      <c r="I498" s="42" t="s">
        <v>478</v>
      </c>
      <c r="J498" s="41" t="s">
        <v>37</v>
      </c>
      <c r="K498" s="40"/>
      <c r="L498" s="28">
        <f t="shared" ca="1" si="26"/>
        <v>6814.9638000000014</v>
      </c>
    </row>
    <row r="499" spans="2:12" x14ac:dyDescent="0.25">
      <c r="B499" s="38"/>
      <c r="C499" s="44"/>
      <c r="D499" s="35"/>
      <c r="F499" s="38"/>
      <c r="G499" s="41"/>
      <c r="H499" s="41"/>
      <c r="I499" s="42"/>
      <c r="J499" s="41"/>
      <c r="K499" s="40"/>
      <c r="L499" s="28">
        <f t="shared" ca="1" si="26"/>
        <v>6814.9638000000014</v>
      </c>
    </row>
    <row r="500" spans="2:12" x14ac:dyDescent="0.25">
      <c r="B500" s="47"/>
      <c r="C500" s="48"/>
      <c r="D500" s="52">
        <f>SUBTOTAL(109,Agosto_2024[INGRESO])</f>
        <v>89832.5</v>
      </c>
      <c r="E500" s="52">
        <f>SUBTOTAL(109,Agosto_2024[EGRESO])</f>
        <v>83017.536200000002</v>
      </c>
      <c r="F500" s="49"/>
      <c r="G500" s="50"/>
      <c r="H500" s="50"/>
      <c r="I500" s="51"/>
      <c r="J500" s="50"/>
      <c r="K500" s="49"/>
      <c r="L500" s="53"/>
    </row>
    <row r="501" spans="2:12" x14ac:dyDescent="0.25">
      <c r="D501" s="35"/>
    </row>
    <row r="502" spans="2:12" x14ac:dyDescent="0.25">
      <c r="B502" s="76" t="s">
        <v>128</v>
      </c>
      <c r="C502" s="77"/>
      <c r="D502" s="77"/>
      <c r="E502" s="77"/>
      <c r="F502" s="77"/>
      <c r="G502" s="77"/>
      <c r="H502" s="77"/>
      <c r="I502" s="77"/>
      <c r="J502" s="77"/>
      <c r="K502" s="77"/>
      <c r="L502" s="77"/>
    </row>
    <row r="503" spans="2:12" x14ac:dyDescent="0.25">
      <c r="B503" s="36" t="s">
        <v>16</v>
      </c>
      <c r="C503" s="37" t="s">
        <v>17</v>
      </c>
      <c r="D503" s="46" t="s">
        <v>73</v>
      </c>
      <c r="E503" s="46" t="s">
        <v>74</v>
      </c>
      <c r="F503" s="37" t="s">
        <v>54</v>
      </c>
      <c r="G503" s="37" t="s">
        <v>76</v>
      </c>
      <c r="H503" s="37" t="s">
        <v>77</v>
      </c>
      <c r="I503" s="37" t="s">
        <v>75</v>
      </c>
      <c r="J503" s="37" t="s">
        <v>18</v>
      </c>
      <c r="K503" s="37" t="s">
        <v>64</v>
      </c>
      <c r="L503" s="37" t="s">
        <v>19</v>
      </c>
    </row>
    <row r="504" spans="2:12" x14ac:dyDescent="0.25">
      <c r="B504" s="68" t="s">
        <v>22</v>
      </c>
      <c r="C504" s="45">
        <v>45901</v>
      </c>
      <c r="D504" s="60"/>
      <c r="E504" s="35">
        <v>1666.6666666666599</v>
      </c>
      <c r="F504" s="67" t="s">
        <v>507</v>
      </c>
      <c r="G504" s="41" t="s">
        <v>80</v>
      </c>
      <c r="H504" s="41" t="s">
        <v>108</v>
      </c>
      <c r="I504" s="42"/>
      <c r="J504" s="41" t="s">
        <v>65</v>
      </c>
      <c r="K504" s="40"/>
      <c r="L504" s="28">
        <f t="shared" ref="L504" ca="1" si="27">IF(ISERROR(OFFSET(L504,-1,0,1,1)+D504-E504),D504-E504,OFFSET(L504,-1,0,1,1)+D504-E504)</f>
        <v>-1666.6666666666599</v>
      </c>
    </row>
    <row r="505" spans="2:12" x14ac:dyDescent="0.25">
      <c r="B505" s="68" t="s">
        <v>22</v>
      </c>
      <c r="C505" s="45">
        <v>45903</v>
      </c>
      <c r="D505" s="35"/>
      <c r="E505" s="35">
        <v>666.66666666666595</v>
      </c>
      <c r="F505" s="67" t="s">
        <v>508</v>
      </c>
      <c r="G505" s="41" t="s">
        <v>80</v>
      </c>
      <c r="H505" s="41" t="s">
        <v>78</v>
      </c>
      <c r="I505" s="42" t="s">
        <v>509</v>
      </c>
      <c r="J505" s="41" t="s">
        <v>52</v>
      </c>
      <c r="K505" s="40"/>
      <c r="L505" s="28">
        <f ca="1">IF(ISERROR(OFFSET(L505,-1,0,1,1)+D505-E505),D505-E505,OFFSET(L505,-1,0,1,1)+D505-E505)</f>
        <v>-2333.3333333333258</v>
      </c>
    </row>
    <row r="506" spans="2:12" x14ac:dyDescent="0.25">
      <c r="B506" s="68" t="s">
        <v>22</v>
      </c>
      <c r="C506" s="45">
        <v>45903</v>
      </c>
      <c r="D506" s="35"/>
      <c r="E506" s="35">
        <v>546</v>
      </c>
      <c r="F506" s="67" t="s">
        <v>201</v>
      </c>
      <c r="G506" s="41" t="s">
        <v>80</v>
      </c>
      <c r="H506" s="41" t="s">
        <v>78</v>
      </c>
      <c r="I506" s="42" t="s">
        <v>510</v>
      </c>
      <c r="J506" s="41" t="s">
        <v>367</v>
      </c>
      <c r="K506" s="40"/>
      <c r="L506" s="28">
        <f t="shared" ref="L506:L595" ca="1" si="28">IF(ISERROR(OFFSET(L506,-1,0,1,1)+D506-E506),D506-E506,OFFSET(L506,-1,0,1,1)+D506-E506)</f>
        <v>-2879.3333333333258</v>
      </c>
    </row>
    <row r="507" spans="2:12" x14ac:dyDescent="0.25">
      <c r="B507" s="68" t="s">
        <v>22</v>
      </c>
      <c r="C507" s="45">
        <v>45903</v>
      </c>
      <c r="D507" s="35">
        <v>1190</v>
      </c>
      <c r="F507" s="68" t="s">
        <v>447</v>
      </c>
      <c r="G507" s="41" t="s">
        <v>80</v>
      </c>
      <c r="H507" s="41" t="s">
        <v>453</v>
      </c>
      <c r="I507" s="63" t="s">
        <v>524</v>
      </c>
      <c r="J507" s="41" t="s">
        <v>99</v>
      </c>
      <c r="K507" s="40"/>
      <c r="L507" s="28">
        <f t="shared" ca="1" si="28"/>
        <v>-1689.3333333333258</v>
      </c>
    </row>
    <row r="508" spans="2:12" x14ac:dyDescent="0.25">
      <c r="B508" s="68" t="s">
        <v>22</v>
      </c>
      <c r="C508" s="44">
        <v>45905</v>
      </c>
      <c r="D508" s="35"/>
      <c r="E508" s="35">
        <v>506</v>
      </c>
      <c r="F508" s="67" t="s">
        <v>511</v>
      </c>
      <c r="G508" s="41" t="s">
        <v>80</v>
      </c>
      <c r="H508" s="41" t="s">
        <v>78</v>
      </c>
      <c r="I508" s="42" t="s">
        <v>512</v>
      </c>
      <c r="J508" s="41" t="s">
        <v>513</v>
      </c>
      <c r="K508" s="40"/>
      <c r="L508" s="28">
        <f t="shared" ca="1" si="28"/>
        <v>-2195.3333333333258</v>
      </c>
    </row>
    <row r="509" spans="2:12" x14ac:dyDescent="0.25">
      <c r="B509" s="68" t="s">
        <v>23</v>
      </c>
      <c r="C509" s="44">
        <v>45904</v>
      </c>
      <c r="D509" s="35">
        <v>360</v>
      </c>
      <c r="F509" s="68" t="s">
        <v>438</v>
      </c>
      <c r="G509" s="41" t="s">
        <v>80</v>
      </c>
      <c r="H509" s="41" t="s">
        <v>440</v>
      </c>
      <c r="I509" s="63"/>
      <c r="J509" s="41" t="s">
        <v>99</v>
      </c>
      <c r="K509" s="40"/>
      <c r="L509" s="28">
        <f t="shared" ca="1" si="28"/>
        <v>-1835.3333333333258</v>
      </c>
    </row>
    <row r="510" spans="2:12" x14ac:dyDescent="0.25">
      <c r="B510" s="68" t="s">
        <v>23</v>
      </c>
      <c r="C510" s="44">
        <v>45904</v>
      </c>
      <c r="D510" s="35">
        <v>130</v>
      </c>
      <c r="F510" s="68" t="s">
        <v>438</v>
      </c>
      <c r="G510" s="41" t="s">
        <v>80</v>
      </c>
      <c r="H510" s="41" t="s">
        <v>457</v>
      </c>
      <c r="I510" s="63"/>
      <c r="J510" s="41" t="s">
        <v>100</v>
      </c>
      <c r="K510" s="40"/>
      <c r="L510" s="28">
        <f t="shared" ca="1" si="28"/>
        <v>-1705.3333333333258</v>
      </c>
    </row>
    <row r="511" spans="2:12" x14ac:dyDescent="0.25">
      <c r="B511" s="68" t="s">
        <v>22</v>
      </c>
      <c r="C511" s="44">
        <v>45906</v>
      </c>
      <c r="D511" s="35">
        <v>4500</v>
      </c>
      <c r="F511" s="67" t="s">
        <v>445</v>
      </c>
      <c r="G511" s="41" t="s">
        <v>80</v>
      </c>
      <c r="H511" s="41" t="s">
        <v>451</v>
      </c>
      <c r="I511" s="69"/>
      <c r="J511" s="41" t="s">
        <v>99</v>
      </c>
      <c r="K511" s="40"/>
      <c r="L511" s="28">
        <f t="shared" ca="1" si="28"/>
        <v>2794.6666666666742</v>
      </c>
    </row>
    <row r="512" spans="2:12" x14ac:dyDescent="0.25">
      <c r="B512" s="68" t="s">
        <v>23</v>
      </c>
      <c r="C512" s="44">
        <v>45906</v>
      </c>
      <c r="D512" s="35">
        <v>4800</v>
      </c>
      <c r="F512" s="61" t="s">
        <v>437</v>
      </c>
      <c r="G512" s="41" t="s">
        <v>80</v>
      </c>
      <c r="H512" s="41" t="s">
        <v>439</v>
      </c>
      <c r="I512" s="69"/>
      <c r="J512" s="41" t="s">
        <v>99</v>
      </c>
      <c r="K512" s="40"/>
      <c r="L512" s="28">
        <f t="shared" ca="1" si="28"/>
        <v>7594.6666666666742</v>
      </c>
    </row>
    <row r="513" spans="2:12" x14ac:dyDescent="0.25">
      <c r="B513" s="68" t="s">
        <v>22</v>
      </c>
      <c r="C513" s="44">
        <v>45906</v>
      </c>
      <c r="D513" s="35">
        <v>1200</v>
      </c>
      <c r="F513" s="68" t="s">
        <v>441</v>
      </c>
      <c r="G513" s="41" t="s">
        <v>80</v>
      </c>
      <c r="H513" s="41" t="s">
        <v>442</v>
      </c>
      <c r="I513" s="69"/>
      <c r="J513" s="41" t="s">
        <v>99</v>
      </c>
      <c r="K513" s="40"/>
      <c r="L513" s="28">
        <f t="shared" ca="1" si="28"/>
        <v>8794.6666666666752</v>
      </c>
    </row>
    <row r="514" spans="2:12" x14ac:dyDescent="0.25">
      <c r="B514" s="68" t="s">
        <v>22</v>
      </c>
      <c r="C514" s="44">
        <v>45906</v>
      </c>
      <c r="D514" s="35">
        <v>1440</v>
      </c>
      <c r="F514" s="68" t="s">
        <v>291</v>
      </c>
      <c r="G514" s="41" t="s">
        <v>80</v>
      </c>
      <c r="H514" s="41" t="s">
        <v>443</v>
      </c>
      <c r="I514" s="69"/>
      <c r="J514" s="41" t="s">
        <v>99</v>
      </c>
      <c r="K514" s="40"/>
      <c r="L514" s="28">
        <f t="shared" ca="1" si="28"/>
        <v>10234.666666666675</v>
      </c>
    </row>
    <row r="515" spans="2:12" x14ac:dyDescent="0.25">
      <c r="B515" s="68" t="s">
        <v>23</v>
      </c>
      <c r="C515" s="44">
        <v>45906</v>
      </c>
      <c r="D515" s="35">
        <v>360</v>
      </c>
      <c r="F515" s="68" t="s">
        <v>382</v>
      </c>
      <c r="G515" s="41" t="s">
        <v>80</v>
      </c>
      <c r="H515" s="41" t="s">
        <v>444</v>
      </c>
      <c r="I515" s="69"/>
      <c r="J515" s="41" t="s">
        <v>99</v>
      </c>
      <c r="K515" s="40"/>
      <c r="L515" s="28">
        <f t="shared" ca="1" si="28"/>
        <v>10594.666666666675</v>
      </c>
    </row>
    <row r="516" spans="2:12" x14ac:dyDescent="0.25">
      <c r="B516" s="68" t="s">
        <v>22</v>
      </c>
      <c r="C516" s="44">
        <v>45906</v>
      </c>
      <c r="D516" s="57"/>
      <c r="E516" s="35">
        <v>2196</v>
      </c>
      <c r="F516" s="67" t="s">
        <v>309</v>
      </c>
      <c r="G516" s="41" t="s">
        <v>107</v>
      </c>
      <c r="H516" s="41" t="s">
        <v>78</v>
      </c>
      <c r="I516" s="69" t="s">
        <v>266</v>
      </c>
      <c r="J516" s="41" t="s">
        <v>103</v>
      </c>
      <c r="K516" s="40"/>
      <c r="L516" s="28">
        <f t="shared" ca="1" si="28"/>
        <v>8398.6666666666752</v>
      </c>
    </row>
    <row r="517" spans="2:12" x14ac:dyDescent="0.25">
      <c r="B517" s="68" t="s">
        <v>22</v>
      </c>
      <c r="C517" s="44">
        <v>45906</v>
      </c>
      <c r="D517" s="57"/>
      <c r="E517" s="35">
        <v>500</v>
      </c>
      <c r="F517" s="67" t="s">
        <v>347</v>
      </c>
      <c r="G517" s="41" t="s">
        <v>80</v>
      </c>
      <c r="H517" s="41" t="s">
        <v>515</v>
      </c>
      <c r="I517" s="69" t="s">
        <v>516</v>
      </c>
      <c r="J517" s="41" t="s">
        <v>12</v>
      </c>
      <c r="K517" s="40"/>
      <c r="L517" s="28">
        <f t="shared" ca="1" si="28"/>
        <v>7898.6666666666752</v>
      </c>
    </row>
    <row r="518" spans="2:12" x14ac:dyDescent="0.25">
      <c r="B518" s="68" t="s">
        <v>22</v>
      </c>
      <c r="C518" s="44">
        <v>45906</v>
      </c>
      <c r="D518" s="57"/>
      <c r="E518" s="35">
        <v>250</v>
      </c>
      <c r="F518" s="67" t="s">
        <v>245</v>
      </c>
      <c r="G518" s="41" t="s">
        <v>80</v>
      </c>
      <c r="H518" s="41" t="s">
        <v>78</v>
      </c>
      <c r="I518" s="69" t="s">
        <v>517</v>
      </c>
      <c r="J518" s="41" t="s">
        <v>36</v>
      </c>
      <c r="K518" s="40"/>
      <c r="L518" s="28">
        <f t="shared" ca="1" si="28"/>
        <v>7648.6666666666752</v>
      </c>
    </row>
    <row r="519" spans="2:12" x14ac:dyDescent="0.25">
      <c r="B519" s="68" t="s">
        <v>23</v>
      </c>
      <c r="C519" s="39">
        <v>45907</v>
      </c>
      <c r="D519" s="35">
        <v>2100</v>
      </c>
      <c r="F519" s="67" t="s">
        <v>437</v>
      </c>
      <c r="G519" s="41" t="s">
        <v>80</v>
      </c>
      <c r="H519" s="41" t="s">
        <v>450</v>
      </c>
      <c r="I519" s="69"/>
      <c r="J519" s="41" t="s">
        <v>99</v>
      </c>
      <c r="K519" s="40"/>
      <c r="L519" s="28">
        <f t="shared" ca="1" si="28"/>
        <v>9748.6666666666752</v>
      </c>
    </row>
    <row r="520" spans="2:12" x14ac:dyDescent="0.25">
      <c r="B520" s="68" t="s">
        <v>22</v>
      </c>
      <c r="C520" s="39">
        <v>45908</v>
      </c>
      <c r="D520" s="35">
        <v>5500</v>
      </c>
      <c r="F520" s="67" t="s">
        <v>445</v>
      </c>
      <c r="G520" s="41" t="s">
        <v>80</v>
      </c>
      <c r="H520" s="41" t="s">
        <v>451</v>
      </c>
      <c r="I520" s="69"/>
      <c r="J520" s="41" t="s">
        <v>99</v>
      </c>
      <c r="K520" s="40"/>
      <c r="L520" s="28">
        <f t="shared" ca="1" si="28"/>
        <v>15248.666666666675</v>
      </c>
    </row>
    <row r="521" spans="2:12" x14ac:dyDescent="0.25">
      <c r="B521" s="68" t="s">
        <v>22</v>
      </c>
      <c r="C521" s="39">
        <v>45908</v>
      </c>
      <c r="D521" s="35">
        <v>1000</v>
      </c>
      <c r="F521" s="67" t="s">
        <v>316</v>
      </c>
      <c r="G521" s="41" t="s">
        <v>80</v>
      </c>
      <c r="H521" s="41" t="s">
        <v>414</v>
      </c>
      <c r="I521" s="69" t="s">
        <v>333</v>
      </c>
      <c r="J521" s="41" t="s">
        <v>99</v>
      </c>
      <c r="K521" s="40"/>
      <c r="L521" s="28">
        <f ca="1">IF(ISERROR(OFFSET(L521,-1,0,1,1)+D521-E521),D521-E521,OFFSET(L521,-1,0,1,1)+D521-E521)</f>
        <v>16248.666666666675</v>
      </c>
    </row>
    <row r="522" spans="2:12" x14ac:dyDescent="0.25">
      <c r="B522" s="68" t="s">
        <v>23</v>
      </c>
      <c r="C522" s="39">
        <v>45908</v>
      </c>
      <c r="D522" s="35"/>
      <c r="E522" s="35">
        <v>2112.5</v>
      </c>
      <c r="F522" s="40" t="s">
        <v>195</v>
      </c>
      <c r="G522" s="41" t="s">
        <v>80</v>
      </c>
      <c r="H522" s="41" t="s">
        <v>78</v>
      </c>
      <c r="I522" s="42" t="s">
        <v>190</v>
      </c>
      <c r="J522" s="41" t="s">
        <v>103</v>
      </c>
      <c r="K522" s="40"/>
      <c r="L522" s="28">
        <f ca="1">IF(ISERROR(OFFSET(L522,-1,0,1,1)+D522-E522),D522-E522,OFFSET(L522,-1,0,1,1)+D522-E522)</f>
        <v>14136.166666666675</v>
      </c>
    </row>
    <row r="523" spans="2:12" x14ac:dyDescent="0.25">
      <c r="B523" s="68" t="s">
        <v>23</v>
      </c>
      <c r="C523" s="44">
        <v>45911</v>
      </c>
      <c r="D523" s="35">
        <v>280</v>
      </c>
      <c r="F523" s="68" t="s">
        <v>446</v>
      </c>
      <c r="G523" s="41" t="s">
        <v>80</v>
      </c>
      <c r="H523" s="41" t="s">
        <v>452</v>
      </c>
      <c r="I523" s="69"/>
      <c r="J523" s="41" t="s">
        <v>99</v>
      </c>
      <c r="K523" s="40"/>
      <c r="L523" s="28">
        <f t="shared" ca="1" si="28"/>
        <v>14416.166666666675</v>
      </c>
    </row>
    <row r="524" spans="2:12" x14ac:dyDescent="0.25">
      <c r="B524" s="68" t="s">
        <v>23</v>
      </c>
      <c r="C524" s="44">
        <v>45911</v>
      </c>
      <c r="D524" s="35">
        <v>195</v>
      </c>
      <c r="F524" s="68" t="s">
        <v>446</v>
      </c>
      <c r="G524" s="41" t="s">
        <v>80</v>
      </c>
      <c r="H524" s="41" t="s">
        <v>458</v>
      </c>
      <c r="I524" s="69"/>
      <c r="J524" s="41" t="s">
        <v>100</v>
      </c>
      <c r="K524" s="40"/>
      <c r="L524" s="28">
        <f t="shared" ca="1" si="28"/>
        <v>14611.166666666675</v>
      </c>
    </row>
    <row r="525" spans="2:12" x14ac:dyDescent="0.25">
      <c r="B525" s="68" t="s">
        <v>22</v>
      </c>
      <c r="C525" s="44">
        <v>45912</v>
      </c>
      <c r="D525" s="35">
        <v>325</v>
      </c>
      <c r="F525" s="61" t="s">
        <v>447</v>
      </c>
      <c r="G525" s="41" t="s">
        <v>80</v>
      </c>
      <c r="H525" s="41" t="s">
        <v>459</v>
      </c>
      <c r="I525" s="63"/>
      <c r="J525" s="41" t="s">
        <v>100</v>
      </c>
      <c r="K525" s="40"/>
      <c r="L525" s="28">
        <f t="shared" ca="1" si="28"/>
        <v>14936.166666666675</v>
      </c>
    </row>
    <row r="526" spans="2:12" x14ac:dyDescent="0.25">
      <c r="B526" s="68" t="s">
        <v>23</v>
      </c>
      <c r="C526" s="44">
        <v>45913</v>
      </c>
      <c r="D526" s="35">
        <v>7200</v>
      </c>
      <c r="F526" s="61" t="s">
        <v>448</v>
      </c>
      <c r="G526" s="41" t="s">
        <v>80</v>
      </c>
      <c r="H526" s="41" t="s">
        <v>454</v>
      </c>
      <c r="I526" s="63"/>
      <c r="J526" s="41" t="s">
        <v>99</v>
      </c>
      <c r="K526" s="40"/>
      <c r="L526" s="28">
        <f t="shared" ca="1" si="28"/>
        <v>22136.166666666675</v>
      </c>
    </row>
    <row r="527" spans="2:12" x14ac:dyDescent="0.25">
      <c r="B527" s="68" t="s">
        <v>23</v>
      </c>
      <c r="C527" s="44">
        <v>45913</v>
      </c>
      <c r="D527" s="35">
        <v>1950</v>
      </c>
      <c r="F527" s="61" t="s">
        <v>448</v>
      </c>
      <c r="G527" s="41" t="s">
        <v>80</v>
      </c>
      <c r="H527" s="41" t="s">
        <v>460</v>
      </c>
      <c r="I527" s="63"/>
      <c r="J527" s="41" t="s">
        <v>100</v>
      </c>
      <c r="K527" s="40"/>
      <c r="L527" s="28">
        <f t="shared" ca="1" si="28"/>
        <v>24086.166666666675</v>
      </c>
    </row>
    <row r="528" spans="2:12" x14ac:dyDescent="0.25">
      <c r="B528" s="68" t="s">
        <v>23</v>
      </c>
      <c r="C528" s="44">
        <v>45913</v>
      </c>
      <c r="D528" s="35">
        <v>2400</v>
      </c>
      <c r="F528" s="61" t="s">
        <v>449</v>
      </c>
      <c r="G528" s="41" t="s">
        <v>80</v>
      </c>
      <c r="H528" s="41" t="s">
        <v>455</v>
      </c>
      <c r="I528" s="63"/>
      <c r="J528" s="41" t="s">
        <v>99</v>
      </c>
      <c r="K528" s="40"/>
      <c r="L528" s="28">
        <f t="shared" ca="1" si="28"/>
        <v>26486.166666666675</v>
      </c>
    </row>
    <row r="529" spans="2:12" x14ac:dyDescent="0.25">
      <c r="B529" s="68" t="s">
        <v>23</v>
      </c>
      <c r="C529" s="44">
        <v>45913</v>
      </c>
      <c r="D529" s="35">
        <v>2640</v>
      </c>
      <c r="F529" s="61" t="s">
        <v>437</v>
      </c>
      <c r="G529" s="41" t="s">
        <v>80</v>
      </c>
      <c r="H529" s="41" t="s">
        <v>456</v>
      </c>
      <c r="I529" s="63"/>
      <c r="J529" s="41" t="s">
        <v>99</v>
      </c>
      <c r="K529" s="40"/>
      <c r="L529" s="28">
        <f t="shared" ca="1" si="28"/>
        <v>29126.166666666675</v>
      </c>
    </row>
    <row r="530" spans="2:12" x14ac:dyDescent="0.25">
      <c r="B530" s="68" t="s">
        <v>23</v>
      </c>
      <c r="C530" s="44">
        <v>45913</v>
      </c>
      <c r="D530" s="57"/>
      <c r="E530" s="35">
        <v>2196</v>
      </c>
      <c r="F530" s="64" t="s">
        <v>309</v>
      </c>
      <c r="G530" s="41" t="s">
        <v>436</v>
      </c>
      <c r="H530" s="41" t="s">
        <v>78</v>
      </c>
      <c r="I530" s="63" t="s">
        <v>266</v>
      </c>
      <c r="J530" s="41" t="s">
        <v>103</v>
      </c>
      <c r="K530" s="40"/>
      <c r="L530" s="28">
        <f t="shared" ca="1" si="28"/>
        <v>26930.166666666675</v>
      </c>
    </row>
    <row r="531" spans="2:12" x14ac:dyDescent="0.25">
      <c r="B531" s="68" t="s">
        <v>23</v>
      </c>
      <c r="C531" s="44">
        <v>45913</v>
      </c>
      <c r="D531" s="57"/>
      <c r="E531" s="35">
        <v>639</v>
      </c>
      <c r="F531" s="64" t="s">
        <v>309</v>
      </c>
      <c r="G531" s="41" t="s">
        <v>436</v>
      </c>
      <c r="H531" s="41" t="s">
        <v>78</v>
      </c>
      <c r="I531" s="63" t="s">
        <v>409</v>
      </c>
      <c r="J531" s="41" t="s">
        <v>367</v>
      </c>
      <c r="K531" s="40"/>
      <c r="L531" s="28">
        <f t="shared" ca="1" si="28"/>
        <v>26291.166666666675</v>
      </c>
    </row>
    <row r="532" spans="2:12" x14ac:dyDescent="0.25">
      <c r="B532" s="68" t="s">
        <v>22</v>
      </c>
      <c r="C532" s="44">
        <v>45913</v>
      </c>
      <c r="D532" s="57"/>
      <c r="E532" s="35">
        <v>4500</v>
      </c>
      <c r="F532" s="67" t="s">
        <v>171</v>
      </c>
      <c r="G532" s="41" t="s">
        <v>80</v>
      </c>
      <c r="H532" s="41" t="s">
        <v>108</v>
      </c>
      <c r="I532" s="63"/>
      <c r="J532" s="41" t="s">
        <v>65</v>
      </c>
      <c r="K532" s="40"/>
      <c r="L532" s="28">
        <f t="shared" ca="1" si="28"/>
        <v>21791.166666666675</v>
      </c>
    </row>
    <row r="533" spans="2:12" x14ac:dyDescent="0.25">
      <c r="B533" s="68" t="s">
        <v>22</v>
      </c>
      <c r="C533" s="44">
        <v>45913</v>
      </c>
      <c r="D533" s="57"/>
      <c r="E533" s="35">
        <v>3500</v>
      </c>
      <c r="F533" s="67" t="s">
        <v>172</v>
      </c>
      <c r="G533" s="41" t="s">
        <v>80</v>
      </c>
      <c r="H533" s="41" t="s">
        <v>108</v>
      </c>
      <c r="I533" s="63"/>
      <c r="J533" s="41" t="s">
        <v>65</v>
      </c>
      <c r="K533" s="40"/>
      <c r="L533" s="28">
        <f t="shared" ca="1" si="28"/>
        <v>18291.166666666675</v>
      </c>
    </row>
    <row r="534" spans="2:12" x14ac:dyDescent="0.25">
      <c r="B534" s="68" t="s">
        <v>22</v>
      </c>
      <c r="C534" s="44">
        <v>45913</v>
      </c>
      <c r="D534" s="35"/>
      <c r="E534" s="35">
        <v>400</v>
      </c>
      <c r="F534" s="67" t="s">
        <v>172</v>
      </c>
      <c r="G534" s="41" t="s">
        <v>80</v>
      </c>
      <c r="H534" s="41" t="s">
        <v>135</v>
      </c>
      <c r="I534" s="63"/>
      <c r="J534" s="41" t="s">
        <v>48</v>
      </c>
      <c r="K534" s="40"/>
      <c r="L534" s="28">
        <f t="shared" ca="1" si="28"/>
        <v>17891.166666666675</v>
      </c>
    </row>
    <row r="535" spans="2:12" x14ac:dyDescent="0.25">
      <c r="B535" s="68" t="s">
        <v>22</v>
      </c>
      <c r="C535" s="44">
        <v>45913</v>
      </c>
      <c r="D535" s="35"/>
      <c r="E535" s="35">
        <v>400</v>
      </c>
      <c r="F535" s="64" t="s">
        <v>173</v>
      </c>
      <c r="G535" s="41" t="s">
        <v>80</v>
      </c>
      <c r="H535" s="41" t="s">
        <v>135</v>
      </c>
      <c r="I535" s="63"/>
      <c r="J535" s="41" t="s">
        <v>48</v>
      </c>
      <c r="K535" s="40"/>
      <c r="L535" s="28">
        <f t="shared" ca="1" si="28"/>
        <v>17491.166666666675</v>
      </c>
    </row>
    <row r="536" spans="2:12" x14ac:dyDescent="0.25">
      <c r="B536" s="68" t="s">
        <v>22</v>
      </c>
      <c r="C536" s="44">
        <v>45913</v>
      </c>
      <c r="D536" s="35"/>
      <c r="E536" s="35">
        <v>800</v>
      </c>
      <c r="F536" s="64" t="s">
        <v>79</v>
      </c>
      <c r="G536" s="41" t="s">
        <v>80</v>
      </c>
      <c r="H536" s="41" t="s">
        <v>108</v>
      </c>
      <c r="I536" s="63"/>
      <c r="J536" s="41" t="s">
        <v>65</v>
      </c>
      <c r="K536" s="40"/>
      <c r="L536" s="28">
        <f t="shared" ca="1" si="28"/>
        <v>16691.166666666675</v>
      </c>
    </row>
    <row r="537" spans="2:12" x14ac:dyDescent="0.25">
      <c r="B537" s="68" t="s">
        <v>22</v>
      </c>
      <c r="C537" s="44">
        <v>45913</v>
      </c>
      <c r="D537" s="35"/>
      <c r="E537" s="35">
        <v>400</v>
      </c>
      <c r="F537" s="64" t="s">
        <v>79</v>
      </c>
      <c r="G537" s="41" t="s">
        <v>80</v>
      </c>
      <c r="H537" s="41" t="s">
        <v>135</v>
      </c>
      <c r="I537" s="63"/>
      <c r="J537" s="41" t="s">
        <v>48</v>
      </c>
      <c r="K537" s="40"/>
      <c r="L537" s="28">
        <f t="shared" ca="1" si="28"/>
        <v>16291.166666666675</v>
      </c>
    </row>
    <row r="538" spans="2:12" x14ac:dyDescent="0.25">
      <c r="B538" s="68" t="s">
        <v>22</v>
      </c>
      <c r="C538" s="44">
        <v>45913</v>
      </c>
      <c r="D538" s="35"/>
      <c r="E538" s="35">
        <v>2050</v>
      </c>
      <c r="F538" s="67" t="s">
        <v>98</v>
      </c>
      <c r="G538" s="41" t="s">
        <v>80</v>
      </c>
      <c r="H538" s="41" t="s">
        <v>108</v>
      </c>
      <c r="I538" s="63"/>
      <c r="J538" s="41" t="s">
        <v>65</v>
      </c>
      <c r="K538" s="40"/>
      <c r="L538" s="28">
        <f t="shared" ca="1" si="28"/>
        <v>14241.166666666675</v>
      </c>
    </row>
    <row r="539" spans="2:12" x14ac:dyDescent="0.25">
      <c r="B539" s="68" t="s">
        <v>22</v>
      </c>
      <c r="C539" s="44">
        <v>45913</v>
      </c>
      <c r="D539" s="35"/>
      <c r="E539" s="35">
        <v>400</v>
      </c>
      <c r="F539" s="67" t="s">
        <v>98</v>
      </c>
      <c r="G539" s="41" t="s">
        <v>80</v>
      </c>
      <c r="H539" s="41" t="s">
        <v>135</v>
      </c>
      <c r="I539" s="63"/>
      <c r="J539" s="41" t="s">
        <v>48</v>
      </c>
      <c r="K539" s="40"/>
      <c r="L539" s="28">
        <f t="shared" ca="1" si="28"/>
        <v>13841.166666666675</v>
      </c>
    </row>
    <row r="540" spans="2:12" x14ac:dyDescent="0.25">
      <c r="B540" s="68" t="s">
        <v>22</v>
      </c>
      <c r="C540" s="45">
        <v>45915</v>
      </c>
      <c r="D540" s="60"/>
      <c r="E540" s="35">
        <v>1666.6666666666599</v>
      </c>
      <c r="F540" s="67" t="s">
        <v>507</v>
      </c>
      <c r="G540" s="41" t="s">
        <v>80</v>
      </c>
      <c r="H540" s="41" t="s">
        <v>108</v>
      </c>
      <c r="I540" s="42"/>
      <c r="J540" s="41" t="s">
        <v>65</v>
      </c>
      <c r="K540" s="40"/>
      <c r="L540" s="28">
        <f t="shared" ca="1" si="28"/>
        <v>12174.500000000015</v>
      </c>
    </row>
    <row r="541" spans="2:12" x14ac:dyDescent="0.25">
      <c r="B541" s="68" t="s">
        <v>23</v>
      </c>
      <c r="C541" s="39">
        <v>45915</v>
      </c>
      <c r="D541" s="35">
        <v>130</v>
      </c>
      <c r="F541" s="67" t="s">
        <v>217</v>
      </c>
      <c r="G541" s="41" t="s">
        <v>80</v>
      </c>
      <c r="H541" s="41" t="s">
        <v>505</v>
      </c>
      <c r="I541" s="63" t="s">
        <v>506</v>
      </c>
      <c r="J541" s="41" t="s">
        <v>100</v>
      </c>
      <c r="K541" s="40"/>
      <c r="L541" s="28">
        <f t="shared" ca="1" si="28"/>
        <v>12304.500000000015</v>
      </c>
    </row>
    <row r="542" spans="2:12" x14ac:dyDescent="0.25">
      <c r="B542" s="68" t="s">
        <v>23</v>
      </c>
      <c r="C542" s="39">
        <v>45915</v>
      </c>
      <c r="D542" s="35">
        <v>1000</v>
      </c>
      <c r="F542" s="67" t="s">
        <v>217</v>
      </c>
      <c r="G542" s="41" t="s">
        <v>80</v>
      </c>
      <c r="H542" s="41" t="s">
        <v>490</v>
      </c>
      <c r="I542" s="63"/>
      <c r="J542" s="41" t="s">
        <v>99</v>
      </c>
      <c r="K542" s="40"/>
      <c r="L542" s="28">
        <f t="shared" ca="1" si="28"/>
        <v>13304.500000000015</v>
      </c>
    </row>
    <row r="543" spans="2:12" x14ac:dyDescent="0.25">
      <c r="B543" s="68" t="s">
        <v>22</v>
      </c>
      <c r="C543" s="39">
        <v>45915</v>
      </c>
      <c r="D543" s="35">
        <v>100</v>
      </c>
      <c r="F543" s="67" t="s">
        <v>217</v>
      </c>
      <c r="G543" s="41" t="s">
        <v>80</v>
      </c>
      <c r="H543" s="41" t="s">
        <v>490</v>
      </c>
      <c r="I543" s="63"/>
      <c r="J543" s="41" t="s">
        <v>99</v>
      </c>
      <c r="K543" s="40"/>
      <c r="L543" s="28">
        <f ca="1">IF(ISERROR(OFFSET(L543,-1,0,1,1)+D543-E543),D543-E543,OFFSET(L543,-1,0,1,1)+D543-E543)</f>
        <v>13404.500000000015</v>
      </c>
    </row>
    <row r="544" spans="2:12" x14ac:dyDescent="0.25">
      <c r="B544" s="68" t="s">
        <v>23</v>
      </c>
      <c r="C544" s="39">
        <v>45917</v>
      </c>
      <c r="D544" s="35">
        <v>210</v>
      </c>
      <c r="F544" s="67" t="s">
        <v>489</v>
      </c>
      <c r="G544" s="41" t="s">
        <v>80</v>
      </c>
      <c r="H544" s="41" t="s">
        <v>491</v>
      </c>
      <c r="I544" s="63"/>
      <c r="J544" s="41" t="s">
        <v>99</v>
      </c>
      <c r="K544" s="40"/>
      <c r="L544" s="28">
        <f t="shared" ca="1" si="28"/>
        <v>13614.500000000015</v>
      </c>
    </row>
    <row r="545" spans="2:12" x14ac:dyDescent="0.25">
      <c r="B545" s="68" t="s">
        <v>23</v>
      </c>
      <c r="C545" s="39">
        <v>45917</v>
      </c>
      <c r="D545" s="35">
        <v>130</v>
      </c>
      <c r="F545" s="67" t="s">
        <v>489</v>
      </c>
      <c r="G545" s="41" t="s">
        <v>80</v>
      </c>
      <c r="H545" s="41" t="s">
        <v>504</v>
      </c>
      <c r="I545" s="42"/>
      <c r="J545" s="41" t="s">
        <v>100</v>
      </c>
      <c r="K545" s="40"/>
      <c r="L545" s="28">
        <f t="shared" ca="1" si="28"/>
        <v>13744.500000000015</v>
      </c>
    </row>
    <row r="546" spans="2:12" x14ac:dyDescent="0.25">
      <c r="B546" s="68" t="s">
        <v>23</v>
      </c>
      <c r="C546" s="44">
        <v>45917</v>
      </c>
      <c r="D546" s="35"/>
      <c r="E546" s="35">
        <v>1375</v>
      </c>
      <c r="F546" s="67" t="s">
        <v>337</v>
      </c>
      <c r="G546" s="41" t="s">
        <v>484</v>
      </c>
      <c r="H546" s="41" t="s">
        <v>78</v>
      </c>
      <c r="I546" s="63" t="s">
        <v>485</v>
      </c>
      <c r="J546" s="41" t="s">
        <v>91</v>
      </c>
      <c r="K546" s="40"/>
      <c r="L546" s="28">
        <f t="shared" ca="1" si="28"/>
        <v>12369.500000000015</v>
      </c>
    </row>
    <row r="547" spans="2:12" x14ac:dyDescent="0.25">
      <c r="B547" s="68" t="s">
        <v>22</v>
      </c>
      <c r="C547" s="44">
        <v>45917</v>
      </c>
      <c r="D547" s="35"/>
      <c r="E547" s="35">
        <v>179.666666666666</v>
      </c>
      <c r="F547" s="67" t="s">
        <v>518</v>
      </c>
      <c r="G547" s="41" t="s">
        <v>80</v>
      </c>
      <c r="H547" s="41" t="s">
        <v>78</v>
      </c>
      <c r="I547" s="69" t="s">
        <v>519</v>
      </c>
      <c r="J547" s="41" t="s">
        <v>69</v>
      </c>
      <c r="K547" s="40"/>
      <c r="L547" s="28">
        <f t="shared" ca="1" si="28"/>
        <v>12189.833333333348</v>
      </c>
    </row>
    <row r="548" spans="2:12" x14ac:dyDescent="0.25">
      <c r="B548" s="68" t="s">
        <v>22</v>
      </c>
      <c r="C548" s="44">
        <v>45917</v>
      </c>
      <c r="D548" s="35"/>
      <c r="E548" s="35">
        <v>200</v>
      </c>
      <c r="F548" s="67" t="s">
        <v>347</v>
      </c>
      <c r="G548" s="41" t="s">
        <v>80</v>
      </c>
      <c r="H548" s="41" t="s">
        <v>78</v>
      </c>
      <c r="I548" s="42" t="s">
        <v>522</v>
      </c>
      <c r="J548" s="41" t="s">
        <v>12</v>
      </c>
      <c r="K548" s="40"/>
      <c r="L548" s="28">
        <f ca="1">IF(ISERROR(OFFSET(L548,-1,0,1,1)+D548-E548),D548-E548,OFFSET(L548,-1,0,1,1)+D548-E548)</f>
        <v>11989.833333333348</v>
      </c>
    </row>
    <row r="549" spans="2:12" x14ac:dyDescent="0.25">
      <c r="B549" s="68" t="s">
        <v>22</v>
      </c>
      <c r="C549" s="44">
        <v>45918</v>
      </c>
      <c r="D549" s="35">
        <v>7500</v>
      </c>
      <c r="F549" s="40" t="s">
        <v>534</v>
      </c>
      <c r="G549" s="41" t="s">
        <v>80</v>
      </c>
      <c r="H549" s="41" t="s">
        <v>496</v>
      </c>
      <c r="I549" s="42" t="s">
        <v>378</v>
      </c>
      <c r="J549" s="41" t="s">
        <v>99</v>
      </c>
      <c r="K549" s="40"/>
      <c r="L549" s="28">
        <f ca="1">IF(ISERROR(OFFSET(L549,-1,0,1,1)+D549-E549),D549-E549,OFFSET(L549,-1,0,1,1)+D549-E549)</f>
        <v>19489.83333333335</v>
      </c>
    </row>
    <row r="550" spans="2:12" x14ac:dyDescent="0.25">
      <c r="B550" s="68" t="s">
        <v>22</v>
      </c>
      <c r="C550" s="44">
        <v>45918</v>
      </c>
      <c r="D550" s="35"/>
      <c r="E550" s="35">
        <v>1500</v>
      </c>
      <c r="F550" s="67" t="s">
        <v>347</v>
      </c>
      <c r="G550" s="41" t="s">
        <v>80</v>
      </c>
      <c r="H550" s="41" t="s">
        <v>360</v>
      </c>
      <c r="I550" s="42" t="s">
        <v>520</v>
      </c>
      <c r="J550" s="41" t="s">
        <v>12</v>
      </c>
      <c r="K550" s="40"/>
      <c r="L550" s="28">
        <f t="shared" ca="1" si="28"/>
        <v>17989.83333333335</v>
      </c>
    </row>
    <row r="551" spans="2:12" x14ac:dyDescent="0.25">
      <c r="B551" s="68" t="s">
        <v>22</v>
      </c>
      <c r="C551" s="39">
        <v>45919</v>
      </c>
      <c r="D551" s="35"/>
      <c r="E551" s="35">
        <v>2666.6666666666601</v>
      </c>
      <c r="F551" s="67" t="s">
        <v>521</v>
      </c>
      <c r="G551" s="41" t="s">
        <v>80</v>
      </c>
      <c r="H551" s="41" t="s">
        <v>78</v>
      </c>
      <c r="I551" s="69"/>
      <c r="J551" s="41" t="s">
        <v>52</v>
      </c>
      <c r="K551" s="40"/>
      <c r="L551" s="28">
        <f t="shared" ca="1" si="28"/>
        <v>15323.16666666669</v>
      </c>
    </row>
    <row r="552" spans="2:12" x14ac:dyDescent="0.25">
      <c r="B552" s="68" t="s">
        <v>22</v>
      </c>
      <c r="C552" s="39">
        <v>45920</v>
      </c>
      <c r="D552" s="35"/>
      <c r="E552" s="35">
        <v>500</v>
      </c>
      <c r="F552" s="67" t="s">
        <v>347</v>
      </c>
      <c r="G552" s="41" t="s">
        <v>80</v>
      </c>
      <c r="H552" s="41" t="s">
        <v>78</v>
      </c>
      <c r="I552" s="42" t="s">
        <v>522</v>
      </c>
      <c r="J552" s="41" t="s">
        <v>12</v>
      </c>
      <c r="K552" s="40"/>
      <c r="L552" s="28">
        <f t="shared" ca="1" si="28"/>
        <v>14823.16666666669</v>
      </c>
    </row>
    <row r="553" spans="2:12" x14ac:dyDescent="0.25">
      <c r="B553" s="68" t="s">
        <v>22</v>
      </c>
      <c r="C553" s="44">
        <v>45922</v>
      </c>
      <c r="D553" s="35"/>
      <c r="E553" s="35">
        <v>333.33333333333297</v>
      </c>
      <c r="F553" s="67" t="s">
        <v>347</v>
      </c>
      <c r="G553" s="41" t="s">
        <v>80</v>
      </c>
      <c r="H553" s="41" t="s">
        <v>523</v>
      </c>
      <c r="I553" s="42" t="s">
        <v>514</v>
      </c>
      <c r="J553" s="41" t="s">
        <v>12</v>
      </c>
      <c r="K553" s="40"/>
      <c r="L553" s="28">
        <f t="shared" ca="1" si="28"/>
        <v>14489.833333333358</v>
      </c>
    </row>
    <row r="554" spans="2:12" x14ac:dyDescent="0.25">
      <c r="B554" s="68" t="s">
        <v>23</v>
      </c>
      <c r="C554" s="39">
        <v>45923</v>
      </c>
      <c r="D554" s="35">
        <v>2400</v>
      </c>
      <c r="F554" s="67" t="s">
        <v>492</v>
      </c>
      <c r="G554" s="41" t="s">
        <v>80</v>
      </c>
      <c r="H554" s="41" t="s">
        <v>496</v>
      </c>
      <c r="I554" s="63">
        <v>2000</v>
      </c>
      <c r="J554" s="41" t="s">
        <v>99</v>
      </c>
      <c r="K554" s="40"/>
      <c r="L554" s="28">
        <f t="shared" ca="1" si="28"/>
        <v>16889.833333333358</v>
      </c>
    </row>
    <row r="555" spans="2:12" x14ac:dyDescent="0.25">
      <c r="B555" s="68" t="s">
        <v>23</v>
      </c>
      <c r="C555" s="39">
        <v>45923</v>
      </c>
      <c r="D555" s="35">
        <v>2400</v>
      </c>
      <c r="F555" s="67" t="s">
        <v>169</v>
      </c>
      <c r="G555" s="41" t="s">
        <v>80</v>
      </c>
      <c r="H555" s="41" t="s">
        <v>497</v>
      </c>
      <c r="I555" s="63">
        <v>2000</v>
      </c>
      <c r="J555" s="41" t="s">
        <v>99</v>
      </c>
      <c r="K555" s="40"/>
      <c r="L555" s="28">
        <f t="shared" ca="1" si="28"/>
        <v>19289.833333333358</v>
      </c>
    </row>
    <row r="556" spans="2:12" x14ac:dyDescent="0.25">
      <c r="B556" s="68" t="s">
        <v>23</v>
      </c>
      <c r="C556" s="39">
        <v>45923</v>
      </c>
      <c r="D556" s="35">
        <v>700</v>
      </c>
      <c r="F556" s="67" t="s">
        <v>493</v>
      </c>
      <c r="G556" s="41" t="s">
        <v>80</v>
      </c>
      <c r="H556" s="41" t="s">
        <v>498</v>
      </c>
      <c r="I556" s="63">
        <v>700</v>
      </c>
      <c r="J556" s="41" t="s">
        <v>99</v>
      </c>
      <c r="K556" s="40"/>
      <c r="L556" s="28">
        <f t="shared" ca="1" si="28"/>
        <v>19989.833333333358</v>
      </c>
    </row>
    <row r="557" spans="2:12" x14ac:dyDescent="0.25">
      <c r="B557" s="68" t="s">
        <v>23</v>
      </c>
      <c r="C557" s="39">
        <v>45923</v>
      </c>
      <c r="D557" s="35">
        <v>455</v>
      </c>
      <c r="F557" s="67" t="s">
        <v>493</v>
      </c>
      <c r="G557" s="41" t="s">
        <v>80</v>
      </c>
      <c r="H557" s="41" t="s">
        <v>502</v>
      </c>
      <c r="I557" s="69" t="s">
        <v>503</v>
      </c>
      <c r="J557" s="41" t="s">
        <v>100</v>
      </c>
      <c r="K557" s="40"/>
      <c r="L557" s="28">
        <f t="shared" ca="1" si="28"/>
        <v>20444.833333333358</v>
      </c>
    </row>
    <row r="558" spans="2:12" x14ac:dyDescent="0.25">
      <c r="B558" s="68" t="s">
        <v>23</v>
      </c>
      <c r="C558" s="39">
        <v>45924</v>
      </c>
      <c r="D558" s="35">
        <v>4000</v>
      </c>
      <c r="F558" s="67" t="s">
        <v>494</v>
      </c>
      <c r="G558" s="41" t="s">
        <v>80</v>
      </c>
      <c r="H558" s="41" t="s">
        <v>499</v>
      </c>
      <c r="I558" s="63">
        <v>4000</v>
      </c>
      <c r="J558" s="41" t="s">
        <v>99</v>
      </c>
      <c r="K558" s="40"/>
      <c r="L558" s="28">
        <f t="shared" ca="1" si="28"/>
        <v>24444.833333333358</v>
      </c>
    </row>
    <row r="559" spans="2:12" x14ac:dyDescent="0.25">
      <c r="B559" s="68" t="s">
        <v>23</v>
      </c>
      <c r="C559" s="39">
        <v>45924</v>
      </c>
      <c r="D559" s="35">
        <v>2400</v>
      </c>
      <c r="F559" s="67" t="s">
        <v>495</v>
      </c>
      <c r="G559" s="41" t="s">
        <v>80</v>
      </c>
      <c r="H559" s="41" t="s">
        <v>500</v>
      </c>
      <c r="I559" s="63">
        <v>2000</v>
      </c>
      <c r="J559" s="41" t="s">
        <v>99</v>
      </c>
      <c r="K559" s="40"/>
      <c r="L559" s="28">
        <f t="shared" ca="1" si="28"/>
        <v>26844.833333333358</v>
      </c>
    </row>
    <row r="560" spans="2:12" x14ac:dyDescent="0.25">
      <c r="B560" s="68" t="s">
        <v>23</v>
      </c>
      <c r="C560" s="39">
        <v>45924</v>
      </c>
      <c r="D560" s="35">
        <v>240</v>
      </c>
      <c r="F560" s="67" t="s">
        <v>429</v>
      </c>
      <c r="G560" s="41" t="s">
        <v>80</v>
      </c>
      <c r="H560" s="41" t="s">
        <v>501</v>
      </c>
      <c r="I560" s="63">
        <v>80</v>
      </c>
      <c r="J560" s="41" t="s">
        <v>99</v>
      </c>
      <c r="K560" s="40"/>
      <c r="L560" s="28">
        <f t="shared" ca="1" si="28"/>
        <v>27084.833333333358</v>
      </c>
    </row>
    <row r="561" spans="2:12" x14ac:dyDescent="0.25">
      <c r="B561" s="68" t="s">
        <v>23</v>
      </c>
      <c r="C561" s="44">
        <v>45924</v>
      </c>
      <c r="D561" s="35"/>
      <c r="E561" s="35">
        <v>80</v>
      </c>
      <c r="F561" s="61" t="s">
        <v>486</v>
      </c>
      <c r="G561" s="41" t="s">
        <v>80</v>
      </c>
      <c r="H561" s="41" t="s">
        <v>78</v>
      </c>
      <c r="I561" s="63" t="s">
        <v>487</v>
      </c>
      <c r="J561" s="41" t="s">
        <v>367</v>
      </c>
      <c r="K561" s="40"/>
      <c r="L561" s="28">
        <f t="shared" ca="1" si="28"/>
        <v>27004.833333333358</v>
      </c>
    </row>
    <row r="562" spans="2:12" x14ac:dyDescent="0.25">
      <c r="B562" s="68" t="s">
        <v>23</v>
      </c>
      <c r="C562" s="44">
        <v>45924</v>
      </c>
      <c r="D562" s="35"/>
      <c r="E562" s="35">
        <v>410</v>
      </c>
      <c r="F562" s="61" t="s">
        <v>309</v>
      </c>
      <c r="G562" s="41" t="s">
        <v>80</v>
      </c>
      <c r="H562" s="41" t="s">
        <v>78</v>
      </c>
      <c r="I562" s="72" t="s">
        <v>488</v>
      </c>
      <c r="J562" s="41" t="s">
        <v>103</v>
      </c>
      <c r="K562" s="40"/>
      <c r="L562" s="28">
        <f t="shared" ca="1" si="28"/>
        <v>26594.833333333358</v>
      </c>
    </row>
    <row r="563" spans="2:12" x14ac:dyDescent="0.25">
      <c r="B563" s="68" t="s">
        <v>22</v>
      </c>
      <c r="C563" s="44">
        <v>45926</v>
      </c>
      <c r="D563" s="35">
        <v>7200</v>
      </c>
      <c r="F563" s="68" t="s">
        <v>525</v>
      </c>
      <c r="G563" s="41" t="s">
        <v>80</v>
      </c>
      <c r="H563" s="41" t="s">
        <v>526</v>
      </c>
      <c r="I563" s="42"/>
      <c r="J563" s="41" t="s">
        <v>99</v>
      </c>
      <c r="K563" s="40"/>
      <c r="L563" s="28">
        <f t="shared" ca="1" si="28"/>
        <v>33794.833333333358</v>
      </c>
    </row>
    <row r="564" spans="2:12" x14ac:dyDescent="0.25">
      <c r="B564" s="68" t="s">
        <v>23</v>
      </c>
      <c r="C564" s="44">
        <v>45927</v>
      </c>
      <c r="D564" s="35"/>
      <c r="E564" s="35">
        <v>78</v>
      </c>
      <c r="F564" s="67" t="s">
        <v>551</v>
      </c>
      <c r="G564" s="41" t="s">
        <v>80</v>
      </c>
      <c r="H564" s="41" t="s">
        <v>78</v>
      </c>
      <c r="I564" s="42" t="s">
        <v>552</v>
      </c>
      <c r="J564" s="41" t="s">
        <v>105</v>
      </c>
      <c r="K564" s="40"/>
      <c r="L564" s="28">
        <f t="shared" ref="L564:L572" ca="1" si="29">IF(ISERROR(OFFSET(L564,-1,0,1,1)+D564-E564),D564-E564,OFFSET(L564,-1,0,1,1)+D564-E564)</f>
        <v>33716.833333333358</v>
      </c>
    </row>
    <row r="565" spans="2:12" x14ac:dyDescent="0.25">
      <c r="B565" s="68" t="s">
        <v>22</v>
      </c>
      <c r="C565" s="44">
        <v>45927</v>
      </c>
      <c r="D565" s="35"/>
      <c r="E565" s="35">
        <v>1000</v>
      </c>
      <c r="F565" s="67" t="s">
        <v>347</v>
      </c>
      <c r="G565" s="41" t="s">
        <v>80</v>
      </c>
      <c r="H565" s="41" t="s">
        <v>78</v>
      </c>
      <c r="I565" s="42" t="s">
        <v>553</v>
      </c>
      <c r="J565" s="41" t="s">
        <v>12</v>
      </c>
      <c r="K565" s="40"/>
      <c r="L565" s="28">
        <f t="shared" ca="1" si="29"/>
        <v>32716.833333333358</v>
      </c>
    </row>
    <row r="566" spans="2:12" x14ac:dyDescent="0.25">
      <c r="B566" s="68" t="s">
        <v>23</v>
      </c>
      <c r="C566" s="44">
        <v>45927</v>
      </c>
      <c r="D566" s="35">
        <v>19200</v>
      </c>
      <c r="F566" s="67" t="s">
        <v>535</v>
      </c>
      <c r="G566" s="41" t="s">
        <v>80</v>
      </c>
      <c r="H566" s="41" t="s">
        <v>540</v>
      </c>
      <c r="I566" s="63" t="s">
        <v>545</v>
      </c>
      <c r="J566" s="41" t="s">
        <v>99</v>
      </c>
      <c r="K566" s="40"/>
      <c r="L566" s="28">
        <f t="shared" ca="1" si="29"/>
        <v>51916.833333333358</v>
      </c>
    </row>
    <row r="567" spans="2:12" x14ac:dyDescent="0.25">
      <c r="B567" s="68" t="s">
        <v>23</v>
      </c>
      <c r="C567" s="44">
        <v>45927</v>
      </c>
      <c r="D567" s="35">
        <v>4800</v>
      </c>
      <c r="F567" s="67" t="s">
        <v>536</v>
      </c>
      <c r="G567" s="41" t="s">
        <v>80</v>
      </c>
      <c r="H567" s="41" t="s">
        <v>541</v>
      </c>
      <c r="I567" s="63" t="s">
        <v>353</v>
      </c>
      <c r="J567" s="41" t="s">
        <v>99</v>
      </c>
      <c r="K567" s="40"/>
      <c r="L567" s="28">
        <f t="shared" ca="1" si="29"/>
        <v>56716.833333333358</v>
      </c>
    </row>
    <row r="568" spans="2:12" x14ac:dyDescent="0.25">
      <c r="B568" s="68" t="s">
        <v>23</v>
      </c>
      <c r="C568" s="44">
        <v>45927</v>
      </c>
      <c r="D568" s="35">
        <v>1300</v>
      </c>
      <c r="F568" s="67" t="s">
        <v>536</v>
      </c>
      <c r="G568" s="41" t="s">
        <v>80</v>
      </c>
      <c r="H568" s="41" t="s">
        <v>549</v>
      </c>
      <c r="I568" s="63" t="s">
        <v>550</v>
      </c>
      <c r="J568" s="41" t="s">
        <v>100</v>
      </c>
      <c r="K568" s="40"/>
      <c r="L568" s="28">
        <f t="shared" ca="1" si="29"/>
        <v>58016.833333333358</v>
      </c>
    </row>
    <row r="569" spans="2:12" x14ac:dyDescent="0.25">
      <c r="B569" s="68" t="s">
        <v>23</v>
      </c>
      <c r="C569" s="44">
        <v>45927</v>
      </c>
      <c r="D569" s="35">
        <v>5520</v>
      </c>
      <c r="F569" s="67" t="s">
        <v>537</v>
      </c>
      <c r="G569" s="41" t="s">
        <v>80</v>
      </c>
      <c r="H569" s="41" t="s">
        <v>542</v>
      </c>
      <c r="I569" s="63" t="s">
        <v>546</v>
      </c>
      <c r="J569" s="41" t="s">
        <v>99</v>
      </c>
      <c r="K569" s="40"/>
      <c r="L569" s="28">
        <f t="shared" ca="1" si="29"/>
        <v>63536.833333333358</v>
      </c>
    </row>
    <row r="570" spans="2:12" x14ac:dyDescent="0.25">
      <c r="B570" s="68" t="s">
        <v>23</v>
      </c>
      <c r="C570" s="44">
        <v>45927</v>
      </c>
      <c r="D570" s="35">
        <v>650</v>
      </c>
      <c r="F570" s="67" t="s">
        <v>537</v>
      </c>
      <c r="G570" s="41" t="s">
        <v>80</v>
      </c>
      <c r="H570" s="41" t="s">
        <v>548</v>
      </c>
      <c r="I570" s="63" t="s">
        <v>547</v>
      </c>
      <c r="J570" s="41" t="s">
        <v>100</v>
      </c>
      <c r="K570" s="40"/>
      <c r="L570" s="28">
        <f t="shared" ca="1" si="29"/>
        <v>64186.833333333358</v>
      </c>
    </row>
    <row r="571" spans="2:12" x14ac:dyDescent="0.25">
      <c r="B571" s="68" t="s">
        <v>23</v>
      </c>
      <c r="C571" s="44">
        <v>45927</v>
      </c>
      <c r="D571" s="35">
        <v>6000</v>
      </c>
      <c r="F571" s="67" t="s">
        <v>538</v>
      </c>
      <c r="G571" s="41" t="s">
        <v>80</v>
      </c>
      <c r="H571" s="41" t="s">
        <v>543</v>
      </c>
      <c r="I571" s="63" t="s">
        <v>378</v>
      </c>
      <c r="J571" s="41" t="s">
        <v>99</v>
      </c>
      <c r="K571" s="40"/>
      <c r="L571" s="28">
        <f t="shared" ca="1" si="29"/>
        <v>70186.833333333358</v>
      </c>
    </row>
    <row r="572" spans="2:12" x14ac:dyDescent="0.25">
      <c r="B572" s="68" t="s">
        <v>22</v>
      </c>
      <c r="C572" s="44">
        <v>45927</v>
      </c>
      <c r="D572" s="35">
        <v>700</v>
      </c>
      <c r="F572" s="67" t="s">
        <v>539</v>
      </c>
      <c r="G572" s="41" t="s">
        <v>80</v>
      </c>
      <c r="H572" s="41" t="s">
        <v>544</v>
      </c>
      <c r="I572" s="63">
        <v>700</v>
      </c>
      <c r="J572" s="41" t="s">
        <v>99</v>
      </c>
      <c r="K572" s="40"/>
      <c r="L572" s="28">
        <f t="shared" ca="1" si="29"/>
        <v>70886.833333333358</v>
      </c>
    </row>
    <row r="573" spans="2:12" x14ac:dyDescent="0.25">
      <c r="B573" s="68" t="s">
        <v>22</v>
      </c>
      <c r="C573" s="44">
        <v>45927</v>
      </c>
      <c r="D573" s="57"/>
      <c r="E573" s="35">
        <v>4500</v>
      </c>
      <c r="F573" s="67" t="s">
        <v>171</v>
      </c>
      <c r="G573" s="41" t="s">
        <v>80</v>
      </c>
      <c r="H573" s="41" t="s">
        <v>108</v>
      </c>
      <c r="I573" s="63"/>
      <c r="J573" s="41" t="s">
        <v>65</v>
      </c>
      <c r="K573" s="40"/>
      <c r="L573" s="28">
        <f t="shared" ref="L573:L581" ca="1" si="30">IF(ISERROR(OFFSET(L573,-1,0,1,1)+D573-E573),D573-E573,OFFSET(L573,-1,0,1,1)+D573-E573)</f>
        <v>66386.833333333358</v>
      </c>
    </row>
    <row r="574" spans="2:12" x14ac:dyDescent="0.25">
      <c r="B574" s="68" t="s">
        <v>22</v>
      </c>
      <c r="C574" s="44">
        <v>45927</v>
      </c>
      <c r="D574" s="57"/>
      <c r="E574" s="35">
        <v>3500</v>
      </c>
      <c r="F574" s="67" t="s">
        <v>172</v>
      </c>
      <c r="G574" s="41" t="s">
        <v>80</v>
      </c>
      <c r="H574" s="41" t="s">
        <v>108</v>
      </c>
      <c r="I574" s="63"/>
      <c r="J574" s="41" t="s">
        <v>65</v>
      </c>
      <c r="K574" s="40"/>
      <c r="L574" s="28">
        <f t="shared" ca="1" si="30"/>
        <v>62886.833333333358</v>
      </c>
    </row>
    <row r="575" spans="2:12" x14ac:dyDescent="0.25">
      <c r="B575" s="68" t="s">
        <v>22</v>
      </c>
      <c r="C575" s="44">
        <v>45927</v>
      </c>
      <c r="D575" s="35"/>
      <c r="E575" s="35">
        <v>400</v>
      </c>
      <c r="F575" s="67" t="s">
        <v>172</v>
      </c>
      <c r="G575" s="41" t="s">
        <v>80</v>
      </c>
      <c r="H575" s="41" t="s">
        <v>135</v>
      </c>
      <c r="I575" s="63"/>
      <c r="J575" s="41" t="s">
        <v>48</v>
      </c>
      <c r="K575" s="40"/>
      <c r="L575" s="28">
        <f t="shared" ca="1" si="30"/>
        <v>62486.833333333358</v>
      </c>
    </row>
    <row r="576" spans="2:12" x14ac:dyDescent="0.25">
      <c r="B576" s="68" t="s">
        <v>22</v>
      </c>
      <c r="C576" s="44">
        <v>45927</v>
      </c>
      <c r="D576" s="35"/>
      <c r="E576" s="35">
        <v>400</v>
      </c>
      <c r="F576" s="64" t="s">
        <v>173</v>
      </c>
      <c r="G576" s="41" t="s">
        <v>80</v>
      </c>
      <c r="H576" s="41" t="s">
        <v>108</v>
      </c>
      <c r="I576" s="63"/>
      <c r="J576" s="41" t="s">
        <v>65</v>
      </c>
      <c r="K576" s="40"/>
      <c r="L576" s="28">
        <f t="shared" ca="1" si="30"/>
        <v>62086.833333333358</v>
      </c>
    </row>
    <row r="577" spans="2:12" x14ac:dyDescent="0.25">
      <c r="B577" s="68" t="s">
        <v>22</v>
      </c>
      <c r="C577" s="44">
        <v>45927</v>
      </c>
      <c r="D577" s="35"/>
      <c r="E577" s="35">
        <v>400</v>
      </c>
      <c r="F577" s="64" t="s">
        <v>173</v>
      </c>
      <c r="G577" s="41" t="s">
        <v>80</v>
      </c>
      <c r="H577" s="41" t="s">
        <v>135</v>
      </c>
      <c r="I577" s="63"/>
      <c r="J577" s="41" t="s">
        <v>48</v>
      </c>
      <c r="K577" s="40"/>
      <c r="L577" s="28">
        <f t="shared" ca="1" si="30"/>
        <v>61686.833333333358</v>
      </c>
    </row>
    <row r="578" spans="2:12" x14ac:dyDescent="0.25">
      <c r="B578" s="68" t="s">
        <v>22</v>
      </c>
      <c r="C578" s="44">
        <v>45927</v>
      </c>
      <c r="D578" s="35"/>
      <c r="E578" s="35">
        <v>800</v>
      </c>
      <c r="F578" s="64" t="s">
        <v>79</v>
      </c>
      <c r="G578" s="41" t="s">
        <v>80</v>
      </c>
      <c r="H578" s="41" t="s">
        <v>108</v>
      </c>
      <c r="I578" s="63"/>
      <c r="J578" s="41" t="s">
        <v>65</v>
      </c>
      <c r="K578" s="40"/>
      <c r="L578" s="28">
        <f t="shared" ca="1" si="30"/>
        <v>60886.833333333358</v>
      </c>
    </row>
    <row r="579" spans="2:12" x14ac:dyDescent="0.25">
      <c r="B579" s="68" t="s">
        <v>22</v>
      </c>
      <c r="C579" s="44">
        <v>45927</v>
      </c>
      <c r="D579" s="35"/>
      <c r="E579" s="35">
        <v>400</v>
      </c>
      <c r="F579" s="64" t="s">
        <v>79</v>
      </c>
      <c r="G579" s="41" t="s">
        <v>80</v>
      </c>
      <c r="H579" s="41" t="s">
        <v>135</v>
      </c>
      <c r="I579" s="63"/>
      <c r="J579" s="41" t="s">
        <v>48</v>
      </c>
      <c r="K579" s="40"/>
      <c r="L579" s="28">
        <f t="shared" ca="1" si="30"/>
        <v>60486.833333333358</v>
      </c>
    </row>
    <row r="580" spans="2:12" x14ac:dyDescent="0.25">
      <c r="B580" s="68" t="s">
        <v>22</v>
      </c>
      <c r="C580" s="44">
        <v>45927</v>
      </c>
      <c r="D580" s="35"/>
      <c r="E580" s="35">
        <v>2050</v>
      </c>
      <c r="F580" s="67" t="s">
        <v>98</v>
      </c>
      <c r="G580" s="41" t="s">
        <v>80</v>
      </c>
      <c r="H580" s="41" t="s">
        <v>108</v>
      </c>
      <c r="I580" s="63"/>
      <c r="J580" s="41" t="s">
        <v>65</v>
      </c>
      <c r="K580" s="40"/>
      <c r="L580" s="28">
        <f t="shared" ca="1" si="30"/>
        <v>58436.833333333358</v>
      </c>
    </row>
    <row r="581" spans="2:12" x14ac:dyDescent="0.25">
      <c r="B581" s="68" t="s">
        <v>22</v>
      </c>
      <c r="C581" s="44">
        <v>45927</v>
      </c>
      <c r="D581" s="35"/>
      <c r="E581" s="35">
        <v>400</v>
      </c>
      <c r="F581" s="67" t="s">
        <v>98</v>
      </c>
      <c r="G581" s="41" t="s">
        <v>80</v>
      </c>
      <c r="H581" s="41" t="s">
        <v>135</v>
      </c>
      <c r="I581" s="63"/>
      <c r="J581" s="41" t="s">
        <v>48</v>
      </c>
      <c r="K581" s="40"/>
      <c r="L581" s="28">
        <f t="shared" ca="1" si="30"/>
        <v>58036.833333333358</v>
      </c>
    </row>
    <row r="582" spans="2:12" x14ac:dyDescent="0.25">
      <c r="B582" s="38" t="s">
        <v>22</v>
      </c>
      <c r="C582" s="39">
        <v>45928</v>
      </c>
      <c r="D582" s="35"/>
      <c r="E582" s="35">
        <v>6666.6666666666597</v>
      </c>
      <c r="F582" s="67" t="s">
        <v>507</v>
      </c>
      <c r="G582" s="41" t="s">
        <v>80</v>
      </c>
      <c r="H582" s="41" t="s">
        <v>108</v>
      </c>
      <c r="I582" s="42"/>
      <c r="J582" s="41" t="s">
        <v>65</v>
      </c>
      <c r="K582" s="40"/>
      <c r="L582" s="28">
        <f ca="1">IF(ISERROR(OFFSET(L582,-1,0,1,1)+D582-E582),D582-E582,OFFSET(L582,-1,0,1,1)+D582-E582)</f>
        <v>51370.166666666701</v>
      </c>
    </row>
    <row r="583" spans="2:12" x14ac:dyDescent="0.25">
      <c r="B583" s="68" t="s">
        <v>22</v>
      </c>
      <c r="C583" s="43">
        <v>45930</v>
      </c>
      <c r="D583" s="59"/>
      <c r="E583" s="35">
        <v>2196</v>
      </c>
      <c r="F583" s="67" t="s">
        <v>309</v>
      </c>
      <c r="G583" s="41" t="s">
        <v>530</v>
      </c>
      <c r="H583" s="41" t="s">
        <v>78</v>
      </c>
      <c r="I583" s="42" t="s">
        <v>266</v>
      </c>
      <c r="J583" s="41" t="s">
        <v>103</v>
      </c>
      <c r="K583" s="40"/>
      <c r="L583" s="28">
        <f t="shared" ca="1" si="28"/>
        <v>49174.166666666701</v>
      </c>
    </row>
    <row r="584" spans="2:12" x14ac:dyDescent="0.25">
      <c r="B584" s="68"/>
      <c r="C584" s="44"/>
      <c r="D584" s="57"/>
      <c r="F584" s="67"/>
      <c r="G584" s="41"/>
      <c r="H584" s="41"/>
      <c r="I584" s="63"/>
      <c r="J584" s="41"/>
      <c r="K584" s="40"/>
      <c r="L584" s="28">
        <f t="shared" ca="1" si="28"/>
        <v>49174.166666666701</v>
      </c>
    </row>
    <row r="585" spans="2:12" x14ac:dyDescent="0.25">
      <c r="B585" s="68"/>
      <c r="C585" s="44"/>
      <c r="D585" s="57"/>
      <c r="F585" s="67"/>
      <c r="G585" s="41"/>
      <c r="H585" s="41"/>
      <c r="I585" s="63"/>
      <c r="J585" s="41"/>
      <c r="K585" s="40"/>
      <c r="L585" s="28">
        <f t="shared" ca="1" si="28"/>
        <v>49174.166666666701</v>
      </c>
    </row>
    <row r="586" spans="2:12" x14ac:dyDescent="0.25">
      <c r="B586" s="68"/>
      <c r="C586" s="44"/>
      <c r="D586" s="35"/>
      <c r="F586" s="67"/>
      <c r="G586" s="41"/>
      <c r="H586" s="41"/>
      <c r="I586" s="63"/>
      <c r="J586" s="41"/>
      <c r="K586" s="40"/>
      <c r="L586" s="28">
        <f t="shared" ca="1" si="28"/>
        <v>49174.166666666701</v>
      </c>
    </row>
    <row r="587" spans="2:12" x14ac:dyDescent="0.25">
      <c r="B587" s="68"/>
      <c r="C587" s="44"/>
      <c r="D587" s="35"/>
      <c r="F587" s="64"/>
      <c r="G587" s="41"/>
      <c r="H587" s="41"/>
      <c r="I587" s="63"/>
      <c r="J587" s="41"/>
      <c r="K587" s="40"/>
      <c r="L587" s="28">
        <f t="shared" ca="1" si="28"/>
        <v>49174.166666666701</v>
      </c>
    </row>
    <row r="588" spans="2:12" x14ac:dyDescent="0.25">
      <c r="B588" s="68"/>
      <c r="C588" s="44"/>
      <c r="D588" s="35"/>
      <c r="F588" s="64"/>
      <c r="G588" s="41"/>
      <c r="H588" s="41"/>
      <c r="I588" s="63"/>
      <c r="J588" s="41"/>
      <c r="K588" s="40"/>
      <c r="L588" s="28">
        <f t="shared" ca="1" si="28"/>
        <v>49174.166666666701</v>
      </c>
    </row>
    <row r="589" spans="2:12" x14ac:dyDescent="0.25">
      <c r="B589" s="68"/>
      <c r="C589" s="44"/>
      <c r="D589" s="35"/>
      <c r="F589" s="64"/>
      <c r="G589" s="41"/>
      <c r="H589" s="41"/>
      <c r="I589" s="63"/>
      <c r="J589" s="41"/>
      <c r="K589" s="40"/>
      <c r="L589" s="28">
        <f t="shared" ca="1" si="28"/>
        <v>49174.166666666701</v>
      </c>
    </row>
    <row r="590" spans="2:12" x14ac:dyDescent="0.25">
      <c r="B590" s="68"/>
      <c r="C590" s="44"/>
      <c r="D590" s="35"/>
      <c r="F590" s="67"/>
      <c r="G590" s="41"/>
      <c r="H590" s="41"/>
      <c r="I590" s="63"/>
      <c r="J590" s="41"/>
      <c r="K590" s="40"/>
      <c r="L590" s="28">
        <f t="shared" ca="1" si="28"/>
        <v>49174.166666666701</v>
      </c>
    </row>
    <row r="591" spans="2:12" x14ac:dyDescent="0.25">
      <c r="B591" s="68"/>
      <c r="C591" s="44"/>
      <c r="D591" s="35"/>
      <c r="F591" s="67"/>
      <c r="G591" s="41"/>
      <c r="H591" s="41"/>
      <c r="I591" s="63"/>
      <c r="J591" s="41"/>
      <c r="K591" s="40"/>
      <c r="L591" s="28">
        <f t="shared" ca="1" si="28"/>
        <v>49174.166666666701</v>
      </c>
    </row>
    <row r="592" spans="2:12" x14ac:dyDescent="0.25">
      <c r="B592" s="38"/>
      <c r="C592" s="44"/>
      <c r="D592" s="35"/>
      <c r="F592" s="61"/>
      <c r="G592" s="41"/>
      <c r="H592" s="41"/>
      <c r="I592" s="42"/>
      <c r="J592" s="41"/>
      <c r="K592" s="40"/>
      <c r="L592" s="28">
        <f t="shared" ca="1" si="28"/>
        <v>49174.166666666701</v>
      </c>
    </row>
    <row r="593" spans="2:12" x14ac:dyDescent="0.25">
      <c r="B593" s="38"/>
      <c r="C593" s="44"/>
      <c r="D593" s="35"/>
      <c r="F593" s="61"/>
      <c r="G593" s="41"/>
      <c r="H593" s="41"/>
      <c r="I593" s="42"/>
      <c r="J593" s="41"/>
      <c r="K593" s="40"/>
      <c r="L593" s="28">
        <f t="shared" ca="1" si="28"/>
        <v>49174.166666666701</v>
      </c>
    </row>
    <row r="594" spans="2:12" x14ac:dyDescent="0.25">
      <c r="B594" s="38"/>
      <c r="C594" s="44"/>
      <c r="D594" s="35"/>
      <c r="F594" s="61"/>
      <c r="G594" s="41"/>
      <c r="H594" s="41"/>
      <c r="I594" s="42"/>
      <c r="J594" s="41"/>
      <c r="K594" s="40"/>
      <c r="L594" s="28">
        <f t="shared" ca="1" si="28"/>
        <v>49174.166666666701</v>
      </c>
    </row>
    <row r="595" spans="2:12" x14ac:dyDescent="0.25">
      <c r="B595" s="38"/>
      <c r="C595" s="44"/>
      <c r="D595" s="35"/>
      <c r="F595" s="61"/>
      <c r="G595" s="41"/>
      <c r="H595" s="41"/>
      <c r="I595" s="42"/>
      <c r="J595" s="41"/>
      <c r="K595" s="40"/>
      <c r="L595" s="28">
        <f t="shared" ca="1" si="28"/>
        <v>49174.166666666701</v>
      </c>
    </row>
    <row r="596" spans="2:12" x14ac:dyDescent="0.25">
      <c r="B596" s="38"/>
      <c r="C596" s="44"/>
      <c r="D596" s="35"/>
      <c r="F596" s="61"/>
      <c r="G596" s="41"/>
      <c r="H596" s="41"/>
      <c r="I596" s="42"/>
      <c r="J596" s="41"/>
      <c r="K596" s="40"/>
      <c r="L596" s="28">
        <f t="shared" ref="L596:L616" ca="1" si="31">IF(ISERROR(OFFSET(L596,-1,0,1,1)+D596-E596),D596-E596,OFFSET(L596,-1,0,1,1)+D596-E596)</f>
        <v>49174.166666666701</v>
      </c>
    </row>
    <row r="597" spans="2:12" x14ac:dyDescent="0.25">
      <c r="B597" s="38"/>
      <c r="C597" s="44"/>
      <c r="D597" s="35"/>
      <c r="F597" s="61"/>
      <c r="G597" s="41"/>
      <c r="H597" s="41"/>
      <c r="I597" s="42"/>
      <c r="J597" s="41"/>
      <c r="K597" s="40"/>
      <c r="L597" s="28">
        <f t="shared" ca="1" si="31"/>
        <v>49174.166666666701</v>
      </c>
    </row>
    <row r="598" spans="2:12" x14ac:dyDescent="0.25">
      <c r="B598" s="38"/>
      <c r="C598" s="44"/>
      <c r="D598" s="35"/>
      <c r="F598" s="61"/>
      <c r="G598" s="41"/>
      <c r="H598" s="41"/>
      <c r="I598" s="42"/>
      <c r="J598" s="41"/>
      <c r="K598" s="40"/>
      <c r="L598" s="28">
        <f t="shared" ca="1" si="31"/>
        <v>49174.166666666701</v>
      </c>
    </row>
    <row r="599" spans="2:12" x14ac:dyDescent="0.25">
      <c r="B599" s="38"/>
      <c r="C599" s="44"/>
      <c r="D599" s="35"/>
      <c r="F599" s="61"/>
      <c r="G599" s="41"/>
      <c r="H599" s="41"/>
      <c r="I599" s="42"/>
      <c r="J599" s="41"/>
      <c r="K599" s="40"/>
      <c r="L599" s="28">
        <f t="shared" ca="1" si="31"/>
        <v>49174.166666666701</v>
      </c>
    </row>
    <row r="600" spans="2:12" x14ac:dyDescent="0.25">
      <c r="B600" s="38"/>
      <c r="C600" s="44"/>
      <c r="D600" s="35"/>
      <c r="F600" s="61"/>
      <c r="G600" s="41"/>
      <c r="H600" s="41"/>
      <c r="I600" s="42"/>
      <c r="J600" s="41"/>
      <c r="K600" s="40"/>
      <c r="L600" s="28">
        <f t="shared" ca="1" si="31"/>
        <v>49174.166666666701</v>
      </c>
    </row>
    <row r="601" spans="2:12" x14ac:dyDescent="0.25">
      <c r="B601" s="38"/>
      <c r="C601" s="44"/>
      <c r="D601" s="35"/>
      <c r="F601" s="61"/>
      <c r="G601" s="41"/>
      <c r="H601" s="41"/>
      <c r="I601" s="42"/>
      <c r="J601" s="41"/>
      <c r="K601" s="40"/>
      <c r="L601" s="28">
        <f t="shared" ca="1" si="31"/>
        <v>49174.166666666701</v>
      </c>
    </row>
    <row r="602" spans="2:12" x14ac:dyDescent="0.25">
      <c r="B602" s="38"/>
      <c r="C602" s="44"/>
      <c r="D602" s="35"/>
      <c r="F602" s="61"/>
      <c r="G602" s="41"/>
      <c r="H602" s="41"/>
      <c r="I602" s="42"/>
      <c r="J602" s="41"/>
      <c r="K602" s="40"/>
      <c r="L602" s="28">
        <f t="shared" ca="1" si="31"/>
        <v>49174.166666666701</v>
      </c>
    </row>
    <row r="603" spans="2:12" x14ac:dyDescent="0.25">
      <c r="B603" s="38"/>
      <c r="C603" s="44"/>
      <c r="D603" s="35"/>
      <c r="F603" s="61"/>
      <c r="G603" s="41"/>
      <c r="H603" s="41"/>
      <c r="I603" s="42"/>
      <c r="J603" s="41"/>
      <c r="K603" s="40"/>
      <c r="L603" s="28">
        <f t="shared" ca="1" si="31"/>
        <v>49174.166666666701</v>
      </c>
    </row>
    <row r="604" spans="2:12" x14ac:dyDescent="0.25">
      <c r="B604" s="38"/>
      <c r="C604" s="44"/>
      <c r="D604" s="35"/>
      <c r="F604" s="61"/>
      <c r="G604" s="41"/>
      <c r="H604" s="41"/>
      <c r="I604" s="42"/>
      <c r="J604" s="41"/>
      <c r="K604" s="40"/>
      <c r="L604" s="28">
        <f t="shared" ca="1" si="31"/>
        <v>49174.166666666701</v>
      </c>
    </row>
    <row r="605" spans="2:12" x14ac:dyDescent="0.25">
      <c r="B605" s="38"/>
      <c r="C605" s="44"/>
      <c r="D605" s="35"/>
      <c r="F605" s="61"/>
      <c r="G605" s="41"/>
      <c r="H605" s="41"/>
      <c r="I605" s="42"/>
      <c r="J605" s="41"/>
      <c r="K605" s="40"/>
      <c r="L605" s="28">
        <f t="shared" ca="1" si="31"/>
        <v>49174.166666666701</v>
      </c>
    </row>
    <row r="606" spans="2:12" x14ac:dyDescent="0.25">
      <c r="B606" s="38"/>
      <c r="C606" s="39"/>
      <c r="D606" s="35"/>
      <c r="F606" s="61"/>
      <c r="G606" s="41"/>
      <c r="H606" s="41"/>
      <c r="I606" s="42"/>
      <c r="J606" s="41"/>
      <c r="K606" s="40"/>
      <c r="L606" s="28">
        <f t="shared" ca="1" si="31"/>
        <v>49174.166666666701</v>
      </c>
    </row>
    <row r="607" spans="2:12" x14ac:dyDescent="0.25">
      <c r="B607" s="68"/>
      <c r="C607" s="44"/>
      <c r="D607" s="59"/>
      <c r="F607" s="40"/>
      <c r="G607" s="41"/>
      <c r="H607" s="41"/>
      <c r="I607" s="42"/>
      <c r="J607" s="41"/>
      <c r="K607" s="40"/>
      <c r="L607" s="28">
        <f t="shared" ca="1" si="31"/>
        <v>49174.166666666701</v>
      </c>
    </row>
    <row r="608" spans="2:12" x14ac:dyDescent="0.25">
      <c r="B608" s="68"/>
      <c r="C608" s="44"/>
      <c r="D608" s="59"/>
      <c r="F608" s="40"/>
      <c r="G608" s="41"/>
      <c r="H608" s="41"/>
      <c r="I608" s="42"/>
      <c r="J608" s="41"/>
      <c r="K608" s="40"/>
      <c r="L608" s="28">
        <f t="shared" ca="1" si="31"/>
        <v>49174.166666666701</v>
      </c>
    </row>
    <row r="609" spans="2:12" x14ac:dyDescent="0.25">
      <c r="B609" s="68"/>
      <c r="C609" s="44"/>
      <c r="D609" s="59"/>
      <c r="F609" s="40"/>
      <c r="G609" s="41"/>
      <c r="H609" s="41"/>
      <c r="I609" s="42"/>
      <c r="J609" s="41"/>
      <c r="K609" s="40"/>
      <c r="L609" s="28">
        <f t="shared" ca="1" si="31"/>
        <v>49174.166666666701</v>
      </c>
    </row>
    <row r="610" spans="2:12" x14ac:dyDescent="0.25">
      <c r="B610" s="38"/>
      <c r="C610" s="44"/>
      <c r="D610" s="57"/>
      <c r="F610" s="61"/>
      <c r="G610" s="41"/>
      <c r="H610" s="41"/>
      <c r="I610" s="42"/>
      <c r="J610" s="41"/>
      <c r="K610" s="40"/>
      <c r="L610" s="28">
        <f t="shared" ca="1" si="31"/>
        <v>49174.166666666701</v>
      </c>
    </row>
    <row r="611" spans="2:12" x14ac:dyDescent="0.25">
      <c r="B611" s="38"/>
      <c r="C611" s="44"/>
      <c r="D611" s="57"/>
      <c r="F611" s="61"/>
      <c r="G611" s="41"/>
      <c r="H611" s="41"/>
      <c r="I611" s="42"/>
      <c r="J611" s="41"/>
      <c r="K611" s="40"/>
      <c r="L611" s="28">
        <f t="shared" ca="1" si="31"/>
        <v>49174.166666666701</v>
      </c>
    </row>
    <row r="612" spans="2:12" x14ac:dyDescent="0.25">
      <c r="B612" s="38"/>
      <c r="C612" s="44"/>
      <c r="D612" s="35"/>
      <c r="F612" s="61"/>
      <c r="G612" s="41"/>
      <c r="H612" s="41"/>
      <c r="I612" s="42"/>
      <c r="J612" s="41"/>
      <c r="K612" s="40"/>
      <c r="L612" s="28">
        <f t="shared" ca="1" si="31"/>
        <v>49174.166666666701</v>
      </c>
    </row>
    <row r="613" spans="2:12" x14ac:dyDescent="0.25">
      <c r="B613" s="38"/>
      <c r="C613" s="44"/>
      <c r="D613" s="35"/>
      <c r="F613" s="61"/>
      <c r="G613" s="41"/>
      <c r="H613" s="41"/>
      <c r="I613" s="42"/>
      <c r="J613" s="41"/>
      <c r="K613" s="40"/>
      <c r="L613" s="28">
        <f t="shared" ca="1" si="31"/>
        <v>49174.166666666701</v>
      </c>
    </row>
    <row r="614" spans="2:12" x14ac:dyDescent="0.25">
      <c r="B614" s="38"/>
      <c r="C614" s="44"/>
      <c r="D614" s="35"/>
      <c r="F614" s="61"/>
      <c r="G614" s="41"/>
      <c r="H614" s="41"/>
      <c r="I614" s="42"/>
      <c r="J614" s="41"/>
      <c r="K614" s="40"/>
      <c r="L614" s="28">
        <f t="shared" ca="1" si="31"/>
        <v>49174.166666666701</v>
      </c>
    </row>
    <row r="615" spans="2:12" x14ac:dyDescent="0.25">
      <c r="B615" s="38"/>
      <c r="C615" s="44"/>
      <c r="D615" s="35"/>
      <c r="F615" s="61"/>
      <c r="G615" s="41"/>
      <c r="H615" s="41"/>
      <c r="I615" s="42"/>
      <c r="J615" s="41"/>
      <c r="K615" s="40"/>
      <c r="L615" s="28">
        <f t="shared" ca="1" si="31"/>
        <v>49174.166666666701</v>
      </c>
    </row>
    <row r="616" spans="2:12" x14ac:dyDescent="0.25">
      <c r="B616" s="38"/>
      <c r="C616" s="39"/>
      <c r="D616" s="35"/>
      <c r="F616" s="40"/>
      <c r="G616" s="41"/>
      <c r="H616" s="41"/>
      <c r="I616" s="42"/>
      <c r="J616" s="41"/>
      <c r="K616" s="40"/>
      <c r="L616" s="28">
        <f t="shared" ca="1" si="31"/>
        <v>49174.166666666701</v>
      </c>
    </row>
    <row r="617" spans="2:12" x14ac:dyDescent="0.25">
      <c r="B617" s="47"/>
      <c r="C617" s="48"/>
      <c r="D617" s="52">
        <f>SUBTOTAL(109,Septiembre_2024[INGRESO])</f>
        <v>104605</v>
      </c>
      <c r="E617" s="52">
        <f>SUBTOTAL(109,Septiembre_2024[EGRESO])</f>
        <v>55430.833333333299</v>
      </c>
      <c r="F617" s="49"/>
      <c r="G617" s="50"/>
      <c r="H617" s="50"/>
      <c r="I617" s="51"/>
      <c r="J617" s="50"/>
      <c r="K617" s="49"/>
      <c r="L617" s="53"/>
    </row>
    <row r="618" spans="2:12" x14ac:dyDescent="0.25">
      <c r="D618" s="35"/>
    </row>
    <row r="619" spans="2:12" x14ac:dyDescent="0.25">
      <c r="B619" s="76" t="s">
        <v>129</v>
      </c>
      <c r="C619" s="77"/>
      <c r="D619" s="77"/>
      <c r="E619" s="77"/>
      <c r="F619" s="77"/>
      <c r="G619" s="77"/>
      <c r="H619" s="77"/>
      <c r="I619" s="77"/>
      <c r="J619" s="77"/>
      <c r="K619" s="77"/>
      <c r="L619" s="77"/>
    </row>
    <row r="620" spans="2:12" x14ac:dyDescent="0.25">
      <c r="B620" s="36" t="s">
        <v>16</v>
      </c>
      <c r="C620" s="37" t="s">
        <v>17</v>
      </c>
      <c r="D620" s="46" t="s">
        <v>73</v>
      </c>
      <c r="E620" s="46" t="s">
        <v>74</v>
      </c>
      <c r="F620" s="37" t="s">
        <v>54</v>
      </c>
      <c r="G620" s="37" t="s">
        <v>76</v>
      </c>
      <c r="H620" s="37" t="s">
        <v>77</v>
      </c>
      <c r="I620" s="37" t="s">
        <v>75</v>
      </c>
      <c r="J620" s="37" t="s">
        <v>18</v>
      </c>
      <c r="K620" s="37" t="s">
        <v>64</v>
      </c>
      <c r="L620" s="37" t="s">
        <v>19</v>
      </c>
    </row>
    <row r="621" spans="2:12" x14ac:dyDescent="0.25">
      <c r="B621" s="68" t="s">
        <v>22</v>
      </c>
      <c r="C621" s="39">
        <v>45931</v>
      </c>
      <c r="D621" s="35">
        <v>4000</v>
      </c>
      <c r="F621" s="61" t="s">
        <v>302</v>
      </c>
      <c r="G621" s="41" t="s">
        <v>80</v>
      </c>
      <c r="H621" s="41" t="s">
        <v>562</v>
      </c>
      <c r="I621" s="42"/>
      <c r="J621" s="41" t="s">
        <v>99</v>
      </c>
      <c r="K621" s="40"/>
      <c r="L621" s="28">
        <f t="shared" ref="L621:L652" ca="1" si="32">IF(ISERROR(OFFSET(L621,-1,0,1,1)+D621-E621),D621-E621,OFFSET(L621,-1,0,1,1)+D621-E621)</f>
        <v>4000</v>
      </c>
    </row>
    <row r="622" spans="2:12" x14ac:dyDescent="0.25">
      <c r="B622" s="68" t="s">
        <v>22</v>
      </c>
      <c r="C622" s="43">
        <v>45932</v>
      </c>
      <c r="D622" s="35"/>
      <c r="E622" s="35">
        <v>5650</v>
      </c>
      <c r="F622" s="67" t="s">
        <v>195</v>
      </c>
      <c r="G622" s="41" t="s">
        <v>80</v>
      </c>
      <c r="H622" s="41" t="s">
        <v>78</v>
      </c>
      <c r="I622" s="69"/>
      <c r="J622" s="41" t="s">
        <v>103</v>
      </c>
      <c r="K622" s="40"/>
      <c r="L622" s="28">
        <f t="shared" ca="1" si="32"/>
        <v>-1650</v>
      </c>
    </row>
    <row r="623" spans="2:12" x14ac:dyDescent="0.25">
      <c r="B623" s="68" t="s">
        <v>22</v>
      </c>
      <c r="C623" s="43">
        <v>45932</v>
      </c>
      <c r="D623" s="35"/>
      <c r="E623" s="35">
        <v>7425</v>
      </c>
      <c r="F623" s="67" t="s">
        <v>195</v>
      </c>
      <c r="G623" s="41" t="s">
        <v>80</v>
      </c>
      <c r="H623" s="41" t="s">
        <v>78</v>
      </c>
      <c r="I623" s="69" t="s">
        <v>554</v>
      </c>
      <c r="J623" s="41" t="s">
        <v>103</v>
      </c>
      <c r="K623" s="40"/>
      <c r="L623" s="28">
        <f t="shared" ca="1" si="32"/>
        <v>-9075</v>
      </c>
    </row>
    <row r="624" spans="2:12" x14ac:dyDescent="0.25">
      <c r="B624" s="68" t="s">
        <v>22</v>
      </c>
      <c r="C624" s="39">
        <v>45932</v>
      </c>
      <c r="D624" s="35">
        <v>2400</v>
      </c>
      <c r="F624" s="61" t="s">
        <v>169</v>
      </c>
      <c r="G624" s="41" t="s">
        <v>80</v>
      </c>
      <c r="H624" s="41" t="s">
        <v>560</v>
      </c>
      <c r="I624" s="42"/>
      <c r="J624" s="41" t="s">
        <v>99</v>
      </c>
      <c r="K624" s="40"/>
      <c r="L624" s="28">
        <f t="shared" ca="1" si="32"/>
        <v>-6675</v>
      </c>
    </row>
    <row r="625" spans="2:12" x14ac:dyDescent="0.25">
      <c r="B625" s="68" t="s">
        <v>22</v>
      </c>
      <c r="C625" s="39">
        <v>45932</v>
      </c>
      <c r="D625" s="35">
        <v>30000</v>
      </c>
      <c r="F625" s="61" t="s">
        <v>555</v>
      </c>
      <c r="G625" s="41" t="s">
        <v>80</v>
      </c>
      <c r="H625" s="41" t="s">
        <v>561</v>
      </c>
      <c r="I625" s="42"/>
      <c r="J625" s="41" t="s">
        <v>99</v>
      </c>
      <c r="K625" s="40"/>
      <c r="L625" s="28">
        <f t="shared" ca="1" si="32"/>
        <v>23325</v>
      </c>
    </row>
    <row r="626" spans="2:12" x14ac:dyDescent="0.25">
      <c r="B626" s="68" t="s">
        <v>23</v>
      </c>
      <c r="C626" s="39">
        <v>45934</v>
      </c>
      <c r="D626" s="35">
        <v>360</v>
      </c>
      <c r="F626" s="61" t="s">
        <v>382</v>
      </c>
      <c r="G626" s="41" t="s">
        <v>80</v>
      </c>
      <c r="H626" s="41" t="s">
        <v>564</v>
      </c>
      <c r="I626" s="42"/>
      <c r="J626" s="41" t="s">
        <v>99</v>
      </c>
      <c r="K626" s="40"/>
      <c r="L626" s="28">
        <f t="shared" ca="1" si="32"/>
        <v>23685</v>
      </c>
    </row>
    <row r="627" spans="2:12" x14ac:dyDescent="0.25">
      <c r="B627" s="68" t="s">
        <v>23</v>
      </c>
      <c r="C627" s="44">
        <v>45936</v>
      </c>
      <c r="D627" s="35">
        <v>1800</v>
      </c>
      <c r="F627" s="61" t="s">
        <v>556</v>
      </c>
      <c r="G627" s="41" t="s">
        <v>80</v>
      </c>
      <c r="H627" s="41" t="s">
        <v>565</v>
      </c>
      <c r="I627" s="42"/>
      <c r="J627" s="41" t="s">
        <v>99</v>
      </c>
      <c r="K627" s="40"/>
      <c r="L627" s="28">
        <f t="shared" ca="1" si="32"/>
        <v>25485</v>
      </c>
    </row>
    <row r="628" spans="2:12" x14ac:dyDescent="0.25">
      <c r="B628" s="68" t="s">
        <v>23</v>
      </c>
      <c r="C628" s="44">
        <v>45941</v>
      </c>
      <c r="D628" s="35">
        <v>1500</v>
      </c>
      <c r="F628" s="61" t="s">
        <v>437</v>
      </c>
      <c r="G628" s="41" t="s">
        <v>80</v>
      </c>
      <c r="H628" s="41" t="s">
        <v>567</v>
      </c>
      <c r="I628" s="42"/>
      <c r="J628" s="41" t="s">
        <v>99</v>
      </c>
      <c r="K628" s="40"/>
      <c r="L628" s="28">
        <f t="shared" ca="1" si="32"/>
        <v>26985</v>
      </c>
    </row>
    <row r="629" spans="2:12" x14ac:dyDescent="0.25">
      <c r="B629" s="73" t="s">
        <v>22</v>
      </c>
      <c r="C629" s="39">
        <v>45942</v>
      </c>
      <c r="D629" s="35">
        <v>500</v>
      </c>
      <c r="F629" s="61" t="s">
        <v>557</v>
      </c>
      <c r="G629" s="41" t="s">
        <v>80</v>
      </c>
      <c r="H629" s="41" t="s">
        <v>571</v>
      </c>
      <c r="I629" s="42"/>
      <c r="J629" s="41" t="s">
        <v>99</v>
      </c>
      <c r="K629" s="40"/>
      <c r="L629" s="28">
        <f t="shared" ca="1" si="32"/>
        <v>27485</v>
      </c>
    </row>
    <row r="630" spans="2:12" x14ac:dyDescent="0.25">
      <c r="B630" s="73" t="s">
        <v>22</v>
      </c>
      <c r="C630" s="39">
        <v>45943</v>
      </c>
      <c r="D630" s="35">
        <v>6000</v>
      </c>
      <c r="F630" s="61" t="s">
        <v>437</v>
      </c>
      <c r="G630" s="41" t="s">
        <v>80</v>
      </c>
      <c r="H630" s="41" t="s">
        <v>570</v>
      </c>
      <c r="I630" s="42"/>
      <c r="J630" s="41" t="s">
        <v>99</v>
      </c>
      <c r="K630" s="40"/>
      <c r="L630" s="28">
        <f t="shared" ca="1" si="32"/>
        <v>33485</v>
      </c>
    </row>
    <row r="631" spans="2:12" x14ac:dyDescent="0.25">
      <c r="B631" s="73" t="s">
        <v>23</v>
      </c>
      <c r="C631" s="44">
        <v>45943</v>
      </c>
      <c r="D631" s="35">
        <v>3000</v>
      </c>
      <c r="F631" s="61" t="s">
        <v>437</v>
      </c>
      <c r="G631" s="41" t="s">
        <v>80</v>
      </c>
      <c r="H631" s="41" t="s">
        <v>572</v>
      </c>
      <c r="I631" s="42"/>
      <c r="J631" s="41" t="s">
        <v>99</v>
      </c>
      <c r="K631" s="40"/>
      <c r="L631" s="28">
        <f t="shared" ca="1" si="32"/>
        <v>36485</v>
      </c>
    </row>
    <row r="632" spans="2:12" x14ac:dyDescent="0.25">
      <c r="B632" s="68" t="s">
        <v>23</v>
      </c>
      <c r="C632" s="45">
        <v>45944</v>
      </c>
      <c r="D632" s="35"/>
      <c r="E632" s="35">
        <v>68</v>
      </c>
      <c r="F632" s="61" t="s">
        <v>531</v>
      </c>
      <c r="G632" s="41" t="s">
        <v>80</v>
      </c>
      <c r="H632" s="41" t="s">
        <v>78</v>
      </c>
      <c r="I632" s="42" t="s">
        <v>532</v>
      </c>
      <c r="J632" s="41" t="s">
        <v>117</v>
      </c>
      <c r="K632" s="40"/>
      <c r="L632" s="28">
        <f t="shared" ca="1" si="32"/>
        <v>36417</v>
      </c>
    </row>
    <row r="633" spans="2:12" x14ac:dyDescent="0.25">
      <c r="B633" s="68" t="s">
        <v>23</v>
      </c>
      <c r="C633" s="45">
        <v>45944</v>
      </c>
      <c r="D633" s="35"/>
      <c r="E633" s="35">
        <v>426</v>
      </c>
      <c r="F633" s="61" t="s">
        <v>144</v>
      </c>
      <c r="G633" s="41" t="s">
        <v>80</v>
      </c>
      <c r="H633" s="41" t="s">
        <v>78</v>
      </c>
      <c r="I633" s="42" t="s">
        <v>533</v>
      </c>
      <c r="J633" s="41" t="s">
        <v>115</v>
      </c>
      <c r="K633" s="40"/>
      <c r="L633" s="28">
        <f t="shared" ca="1" si="32"/>
        <v>35991</v>
      </c>
    </row>
    <row r="634" spans="2:12" x14ac:dyDescent="0.25">
      <c r="B634" s="73" t="s">
        <v>23</v>
      </c>
      <c r="C634" s="44">
        <v>45944</v>
      </c>
      <c r="D634" s="62">
        <v>4200</v>
      </c>
      <c r="E634" s="62"/>
      <c r="F634" s="61" t="s">
        <v>232</v>
      </c>
      <c r="G634" s="41" t="s">
        <v>80</v>
      </c>
      <c r="H634" s="41" t="s">
        <v>574</v>
      </c>
      <c r="I634" s="63"/>
      <c r="J634" s="41" t="s">
        <v>99</v>
      </c>
      <c r="K634" s="64"/>
      <c r="L634" s="28">
        <f t="shared" ca="1" si="32"/>
        <v>40191</v>
      </c>
    </row>
    <row r="635" spans="2:12" s="65" customFormat="1" x14ac:dyDescent="0.25">
      <c r="B635" s="73" t="s">
        <v>22</v>
      </c>
      <c r="C635" s="44">
        <v>45945</v>
      </c>
      <c r="D635" s="35">
        <v>7000</v>
      </c>
      <c r="E635" s="35"/>
      <c r="F635" s="61" t="s">
        <v>437</v>
      </c>
      <c r="G635" s="41" t="s">
        <v>80</v>
      </c>
      <c r="H635" s="41" t="s">
        <v>575</v>
      </c>
      <c r="I635" s="42"/>
      <c r="J635" s="41" t="s">
        <v>99</v>
      </c>
      <c r="K635" s="40"/>
      <c r="L635" s="28">
        <f t="shared" ca="1" si="32"/>
        <v>47191</v>
      </c>
    </row>
    <row r="636" spans="2:12" x14ac:dyDescent="0.25">
      <c r="B636" s="68" t="s">
        <v>23</v>
      </c>
      <c r="C636" s="44">
        <v>45945</v>
      </c>
      <c r="D636" s="35">
        <v>1080</v>
      </c>
      <c r="F636" s="61" t="s">
        <v>437</v>
      </c>
      <c r="G636" s="41" t="s">
        <v>80</v>
      </c>
      <c r="H636" s="41" t="s">
        <v>575</v>
      </c>
      <c r="I636" s="42"/>
      <c r="J636" s="41" t="s">
        <v>99</v>
      </c>
      <c r="K636" s="40"/>
      <c r="L636" s="28">
        <f t="shared" ca="1" si="32"/>
        <v>48271</v>
      </c>
    </row>
    <row r="637" spans="2:12" x14ac:dyDescent="0.25">
      <c r="B637" s="73" t="s">
        <v>23</v>
      </c>
      <c r="C637" s="44">
        <v>45945</v>
      </c>
      <c r="D637" s="35">
        <v>1320</v>
      </c>
      <c r="F637" s="61" t="s">
        <v>558</v>
      </c>
      <c r="G637" s="41" t="s">
        <v>80</v>
      </c>
      <c r="H637" s="41" t="s">
        <v>576</v>
      </c>
      <c r="I637" s="42"/>
      <c r="J637" s="41" t="s">
        <v>99</v>
      </c>
      <c r="K637" s="40"/>
      <c r="L637" s="28">
        <f t="shared" ca="1" si="32"/>
        <v>49591</v>
      </c>
    </row>
    <row r="638" spans="2:12" x14ac:dyDescent="0.25">
      <c r="B638" s="68" t="s">
        <v>23</v>
      </c>
      <c r="C638" s="44">
        <v>45946</v>
      </c>
      <c r="D638" s="35">
        <v>1800</v>
      </c>
      <c r="F638" s="61" t="s">
        <v>492</v>
      </c>
      <c r="G638" s="41" t="s">
        <v>80</v>
      </c>
      <c r="H638" s="41" t="s">
        <v>578</v>
      </c>
      <c r="I638" s="42"/>
      <c r="J638" s="41" t="s">
        <v>99</v>
      </c>
      <c r="K638" s="40"/>
      <c r="L638" s="28">
        <f t="shared" ca="1" si="32"/>
        <v>51391</v>
      </c>
    </row>
    <row r="639" spans="2:12" x14ac:dyDescent="0.25">
      <c r="B639" s="73" t="s">
        <v>23</v>
      </c>
      <c r="C639" s="44">
        <v>45946</v>
      </c>
      <c r="D639" s="35">
        <v>800</v>
      </c>
      <c r="F639" s="61" t="s">
        <v>437</v>
      </c>
      <c r="G639" s="41" t="s">
        <v>80</v>
      </c>
      <c r="H639" s="41" t="s">
        <v>579</v>
      </c>
      <c r="I639" s="42"/>
      <c r="J639" s="41" t="s">
        <v>99</v>
      </c>
      <c r="K639" s="40"/>
      <c r="L639" s="28">
        <f t="shared" ca="1" si="32"/>
        <v>52191</v>
      </c>
    </row>
    <row r="640" spans="2:12" x14ac:dyDescent="0.25">
      <c r="B640" s="73" t="s">
        <v>22</v>
      </c>
      <c r="C640" s="44">
        <v>45946</v>
      </c>
      <c r="D640" s="35">
        <v>360</v>
      </c>
      <c r="F640" s="61" t="s">
        <v>382</v>
      </c>
      <c r="G640" s="41" t="s">
        <v>80</v>
      </c>
      <c r="H640" s="41" t="s">
        <v>580</v>
      </c>
      <c r="I640" s="42"/>
      <c r="J640" s="41" t="s">
        <v>99</v>
      </c>
      <c r="K640" s="40"/>
      <c r="L640" s="28">
        <f t="shared" ca="1" si="32"/>
        <v>52551</v>
      </c>
    </row>
    <row r="641" spans="2:12" x14ac:dyDescent="0.25">
      <c r="B641" s="73" t="s">
        <v>23</v>
      </c>
      <c r="C641" s="44">
        <v>45950</v>
      </c>
      <c r="D641" s="35"/>
      <c r="E641" s="35">
        <v>500</v>
      </c>
      <c r="F641" s="61" t="s">
        <v>581</v>
      </c>
      <c r="G641" s="41" t="s">
        <v>107</v>
      </c>
      <c r="H641" s="41" t="s">
        <v>78</v>
      </c>
      <c r="I641" s="42" t="s">
        <v>582</v>
      </c>
      <c r="J641" s="41" t="s">
        <v>115</v>
      </c>
      <c r="K641" s="40"/>
      <c r="L641" s="28">
        <f t="shared" ca="1" si="32"/>
        <v>52051</v>
      </c>
    </row>
    <row r="642" spans="2:12" x14ac:dyDescent="0.25">
      <c r="B642" s="68"/>
      <c r="C642" s="45"/>
      <c r="D642" s="35"/>
      <c r="F642" s="61"/>
      <c r="G642" s="41"/>
      <c r="H642" s="41"/>
      <c r="I642" s="42"/>
      <c r="J642" s="41"/>
      <c r="K642" s="41"/>
      <c r="L642" s="28">
        <f t="shared" ca="1" si="32"/>
        <v>52051</v>
      </c>
    </row>
    <row r="643" spans="2:12" x14ac:dyDescent="0.25">
      <c r="B643" s="68"/>
      <c r="C643" s="45"/>
      <c r="D643" s="35"/>
      <c r="F643" s="61"/>
      <c r="G643" s="41"/>
      <c r="H643" s="41"/>
      <c r="I643" s="42"/>
      <c r="J643" s="41"/>
      <c r="K643" s="40"/>
      <c r="L643" s="28">
        <f t="shared" ca="1" si="32"/>
        <v>52051</v>
      </c>
    </row>
    <row r="644" spans="2:12" x14ac:dyDescent="0.25">
      <c r="B644" s="68"/>
      <c r="C644" s="45"/>
      <c r="D644" s="35"/>
      <c r="F644" s="61"/>
      <c r="G644" s="41"/>
      <c r="H644" s="41"/>
      <c r="I644" s="42"/>
      <c r="J644" s="41"/>
      <c r="K644" s="40"/>
      <c r="L644" s="28">
        <f t="shared" ca="1" si="32"/>
        <v>52051</v>
      </c>
    </row>
    <row r="645" spans="2:12" x14ac:dyDescent="0.25">
      <c r="B645" s="68"/>
      <c r="C645" s="39"/>
      <c r="D645" s="35"/>
      <c r="F645" s="61"/>
      <c r="G645" s="41"/>
      <c r="H645" s="41"/>
      <c r="I645" s="42"/>
      <c r="J645" s="41"/>
      <c r="K645" s="40"/>
      <c r="L645" s="28">
        <f t="shared" ca="1" si="32"/>
        <v>52051</v>
      </c>
    </row>
    <row r="646" spans="2:12" x14ac:dyDescent="0.25">
      <c r="B646" s="68"/>
      <c r="C646" s="39"/>
      <c r="D646" s="35"/>
      <c r="F646" s="61"/>
      <c r="G646" s="41"/>
      <c r="H646" s="41"/>
      <c r="I646" s="42"/>
      <c r="J646" s="41"/>
      <c r="K646" s="40"/>
      <c r="L646" s="28">
        <f t="shared" ca="1" si="32"/>
        <v>52051</v>
      </c>
    </row>
    <row r="647" spans="2:12" x14ac:dyDescent="0.25">
      <c r="B647" s="38"/>
      <c r="C647" s="39"/>
      <c r="D647" s="35"/>
      <c r="F647" s="61"/>
      <c r="G647" s="41"/>
      <c r="H647" s="41"/>
      <c r="I647" s="42"/>
      <c r="J647" s="41"/>
      <c r="K647" s="40"/>
      <c r="L647" s="28">
        <f t="shared" ca="1" si="32"/>
        <v>52051</v>
      </c>
    </row>
    <row r="648" spans="2:12" x14ac:dyDescent="0.25">
      <c r="B648" s="38"/>
      <c r="C648" s="44"/>
      <c r="D648" s="35"/>
      <c r="F648" s="61"/>
      <c r="G648" s="41"/>
      <c r="H648" s="41"/>
      <c r="I648" s="42"/>
      <c r="J648" s="41"/>
      <c r="K648" s="40"/>
      <c r="L648" s="28">
        <f t="shared" ca="1" si="32"/>
        <v>52051</v>
      </c>
    </row>
    <row r="649" spans="2:12" x14ac:dyDescent="0.25">
      <c r="B649" s="66"/>
      <c r="C649" s="39"/>
      <c r="D649" s="35"/>
      <c r="F649" s="61"/>
      <c r="G649" s="41"/>
      <c r="H649" s="41"/>
      <c r="I649" s="42"/>
      <c r="J649" s="41"/>
      <c r="K649" s="40"/>
      <c r="L649" s="28">
        <f t="shared" ca="1" si="32"/>
        <v>52051</v>
      </c>
    </row>
    <row r="650" spans="2:12" x14ac:dyDescent="0.25">
      <c r="B650" s="66"/>
      <c r="C650" s="44"/>
      <c r="D650" s="35"/>
      <c r="F650" s="61"/>
      <c r="G650" s="41"/>
      <c r="H650" s="41"/>
      <c r="I650" s="42"/>
      <c r="J650" s="41"/>
      <c r="K650" s="40"/>
      <c r="L650" s="28">
        <f t="shared" ca="1" si="32"/>
        <v>52051</v>
      </c>
    </row>
    <row r="651" spans="2:12" x14ac:dyDescent="0.25">
      <c r="B651" s="66"/>
      <c r="C651" s="39"/>
      <c r="D651" s="35"/>
      <c r="F651" s="61"/>
      <c r="G651" s="41"/>
      <c r="H651" s="41"/>
      <c r="I651" s="42"/>
      <c r="J651" s="41"/>
      <c r="K651" s="40"/>
      <c r="L651" s="28">
        <f t="shared" ca="1" si="32"/>
        <v>52051</v>
      </c>
    </row>
    <row r="652" spans="2:12" x14ac:dyDescent="0.25">
      <c r="B652" s="66"/>
      <c r="C652" s="39"/>
      <c r="D652" s="35"/>
      <c r="F652" s="61"/>
      <c r="G652" s="41"/>
      <c r="H652" s="41"/>
      <c r="I652" s="42"/>
      <c r="J652" s="41"/>
      <c r="K652" s="40"/>
      <c r="L652" s="28">
        <f t="shared" ca="1" si="32"/>
        <v>52051</v>
      </c>
    </row>
    <row r="653" spans="2:12" x14ac:dyDescent="0.25">
      <c r="B653" s="38"/>
      <c r="C653" s="44"/>
      <c r="D653" s="35"/>
      <c r="F653" s="61"/>
      <c r="G653" s="41"/>
      <c r="H653" s="41"/>
      <c r="I653" s="42"/>
      <c r="J653" s="41"/>
      <c r="K653" s="40"/>
      <c r="L653" s="28">
        <f t="shared" ref="L653:L677" ca="1" si="33">IF(ISERROR(OFFSET(L653,-1,0,1,1)+D653-E653),D653-E653,OFFSET(L653,-1,0,1,1)+D653-E653)</f>
        <v>52051</v>
      </c>
    </row>
    <row r="654" spans="2:12" x14ac:dyDescent="0.25">
      <c r="B654" s="38"/>
      <c r="C654" s="43"/>
      <c r="D654" s="35"/>
      <c r="F654" s="61"/>
      <c r="G654" s="41"/>
      <c r="H654" s="41"/>
      <c r="I654" s="42"/>
      <c r="J654" s="41"/>
      <c r="K654" s="40"/>
      <c r="L654" s="28">
        <f t="shared" ca="1" si="33"/>
        <v>52051</v>
      </c>
    </row>
    <row r="655" spans="2:12" x14ac:dyDescent="0.25">
      <c r="B655" s="38"/>
      <c r="C655" s="43"/>
      <c r="D655" s="35"/>
      <c r="F655" s="61"/>
      <c r="G655" s="41"/>
      <c r="H655" s="41"/>
      <c r="I655" s="42"/>
      <c r="J655" s="41"/>
      <c r="K655" s="40"/>
      <c r="L655" s="28">
        <f t="shared" ca="1" si="33"/>
        <v>52051</v>
      </c>
    </row>
    <row r="656" spans="2:12" x14ac:dyDescent="0.25">
      <c r="B656" s="38"/>
      <c r="C656" s="44"/>
      <c r="D656" s="59"/>
      <c r="F656" s="40"/>
      <c r="G656" s="41"/>
      <c r="H656" s="41"/>
      <c r="I656" s="42"/>
      <c r="J656" s="41"/>
      <c r="K656" s="40"/>
      <c r="L656" s="28">
        <f t="shared" ca="1" si="33"/>
        <v>52051</v>
      </c>
    </row>
    <row r="657" spans="2:12" x14ac:dyDescent="0.25">
      <c r="B657" s="38"/>
      <c r="C657" s="43"/>
      <c r="D657" s="35"/>
      <c r="F657" s="61"/>
      <c r="G657" s="41"/>
      <c r="H657" s="41"/>
      <c r="I657" s="42"/>
      <c r="J657" s="41"/>
      <c r="K657" s="40"/>
      <c r="L657" s="28">
        <f t="shared" ca="1" si="33"/>
        <v>52051</v>
      </c>
    </row>
    <row r="658" spans="2:12" x14ac:dyDescent="0.25">
      <c r="B658" s="38"/>
      <c r="C658" s="43"/>
      <c r="D658" s="35"/>
      <c r="F658" s="61"/>
      <c r="G658" s="41"/>
      <c r="H658" s="41"/>
      <c r="I658" s="42"/>
      <c r="J658" s="41"/>
      <c r="K658" s="40"/>
      <c r="L658" s="28">
        <f t="shared" ca="1" si="33"/>
        <v>52051</v>
      </c>
    </row>
    <row r="659" spans="2:12" x14ac:dyDescent="0.25">
      <c r="B659" s="38"/>
      <c r="C659" s="43"/>
      <c r="D659" s="35"/>
      <c r="F659" s="61"/>
      <c r="G659" s="41"/>
      <c r="H659" s="41"/>
      <c r="I659" s="42"/>
      <c r="J659" s="41"/>
      <c r="K659" s="40"/>
      <c r="L659" s="28">
        <f t="shared" ca="1" si="33"/>
        <v>52051</v>
      </c>
    </row>
    <row r="660" spans="2:12" x14ac:dyDescent="0.25">
      <c r="B660" s="38"/>
      <c r="C660" s="43"/>
      <c r="D660" s="35"/>
      <c r="F660" s="61"/>
      <c r="G660" s="41"/>
      <c r="H660" s="41"/>
      <c r="I660" s="42"/>
      <c r="J660" s="41"/>
      <c r="K660" s="40"/>
      <c r="L660" s="28">
        <f t="shared" ca="1" si="33"/>
        <v>52051</v>
      </c>
    </row>
    <row r="661" spans="2:12" x14ac:dyDescent="0.25">
      <c r="B661" s="38"/>
      <c r="C661" s="44"/>
      <c r="D661" s="35"/>
      <c r="F661" s="61"/>
      <c r="G661" s="41"/>
      <c r="H661" s="41"/>
      <c r="I661" s="42"/>
      <c r="J661" s="41"/>
      <c r="K661" s="40"/>
      <c r="L661" s="28">
        <f t="shared" ca="1" si="33"/>
        <v>52051</v>
      </c>
    </row>
    <row r="662" spans="2:12" x14ac:dyDescent="0.25">
      <c r="B662" s="38"/>
      <c r="C662" s="44"/>
      <c r="D662" s="35"/>
      <c r="F662" s="61"/>
      <c r="G662" s="41"/>
      <c r="H662" s="41"/>
      <c r="I662" s="42"/>
      <c r="J662" s="41"/>
      <c r="K662" s="40"/>
      <c r="L662" s="28">
        <f t="shared" ca="1" si="33"/>
        <v>52051</v>
      </c>
    </row>
    <row r="663" spans="2:12" x14ac:dyDescent="0.25">
      <c r="B663" s="38"/>
      <c r="C663" s="44"/>
      <c r="D663" s="35"/>
      <c r="F663" s="61"/>
      <c r="G663" s="41"/>
      <c r="H663" s="41"/>
      <c r="I663" s="42"/>
      <c r="J663" s="41"/>
      <c r="K663" s="40"/>
      <c r="L663" s="28">
        <f t="shared" ca="1" si="33"/>
        <v>52051</v>
      </c>
    </row>
    <row r="664" spans="2:12" x14ac:dyDescent="0.25">
      <c r="B664" s="38"/>
      <c r="C664" s="44"/>
      <c r="D664" s="59"/>
      <c r="F664" s="40"/>
      <c r="G664" s="41"/>
      <c r="H664" s="41"/>
      <c r="I664" s="42"/>
      <c r="J664" s="41"/>
      <c r="K664" s="40"/>
      <c r="L664" s="28">
        <f t="shared" ca="1" si="33"/>
        <v>52051</v>
      </c>
    </row>
    <row r="665" spans="2:12" x14ac:dyDescent="0.25">
      <c r="B665" s="38"/>
      <c r="C665" s="44"/>
      <c r="D665" s="59"/>
      <c r="F665" s="40"/>
      <c r="G665" s="41"/>
      <c r="H665" s="41"/>
      <c r="I665" s="42"/>
      <c r="J665" s="41"/>
      <c r="K665" s="40"/>
      <c r="L665" s="28">
        <f t="shared" ca="1" si="33"/>
        <v>52051</v>
      </c>
    </row>
    <row r="666" spans="2:12" x14ac:dyDescent="0.25">
      <c r="B666" s="38"/>
      <c r="C666" s="44"/>
      <c r="D666" s="59"/>
      <c r="F666" s="40"/>
      <c r="G666" s="41"/>
      <c r="H666" s="41"/>
      <c r="I666" s="42"/>
      <c r="J666" s="41"/>
      <c r="K666" s="40"/>
      <c r="L666" s="28">
        <f t="shared" ca="1" si="33"/>
        <v>52051</v>
      </c>
    </row>
    <row r="667" spans="2:12" x14ac:dyDescent="0.25">
      <c r="B667" s="38"/>
      <c r="C667" s="44"/>
      <c r="D667" s="35"/>
      <c r="F667" s="61"/>
      <c r="G667" s="41"/>
      <c r="H667" s="41"/>
      <c r="I667" s="42"/>
      <c r="J667" s="41"/>
      <c r="K667" s="40"/>
      <c r="L667" s="28">
        <f t="shared" ca="1" si="33"/>
        <v>52051</v>
      </c>
    </row>
    <row r="668" spans="2:12" x14ac:dyDescent="0.25">
      <c r="B668" s="38"/>
      <c r="C668" s="44"/>
      <c r="D668" s="35"/>
      <c r="F668" s="61"/>
      <c r="G668" s="41"/>
      <c r="H668" s="41"/>
      <c r="I668" s="42"/>
      <c r="J668" s="41"/>
      <c r="K668" s="40"/>
      <c r="L668" s="28">
        <f t="shared" ca="1" si="33"/>
        <v>52051</v>
      </c>
    </row>
    <row r="669" spans="2:12" x14ac:dyDescent="0.25">
      <c r="B669" s="38"/>
      <c r="C669" s="44"/>
      <c r="D669" s="35"/>
      <c r="F669" s="61"/>
      <c r="G669" s="41"/>
      <c r="H669" s="41"/>
      <c r="I669" s="42"/>
      <c r="J669" s="41"/>
      <c r="K669" s="40"/>
      <c r="L669" s="28">
        <f t="shared" ca="1" si="33"/>
        <v>52051</v>
      </c>
    </row>
    <row r="670" spans="2:12" x14ac:dyDescent="0.25">
      <c r="B670" s="38"/>
      <c r="C670" s="44"/>
      <c r="D670" s="35"/>
      <c r="F670" s="61"/>
      <c r="G670" s="41"/>
      <c r="H670" s="41"/>
      <c r="I670" s="42"/>
      <c r="J670" s="41"/>
      <c r="K670" s="40"/>
      <c r="L670" s="28">
        <f t="shared" ca="1" si="33"/>
        <v>52051</v>
      </c>
    </row>
    <row r="671" spans="2:12" x14ac:dyDescent="0.25">
      <c r="B671" s="38"/>
      <c r="C671" s="44"/>
      <c r="D671" s="35"/>
      <c r="F671" s="61"/>
      <c r="G671" s="41"/>
      <c r="H671" s="41"/>
      <c r="I671" s="42"/>
      <c r="J671" s="41"/>
      <c r="K671" s="40"/>
      <c r="L671" s="28">
        <f t="shared" ca="1" si="33"/>
        <v>52051</v>
      </c>
    </row>
    <row r="672" spans="2:12" x14ac:dyDescent="0.25">
      <c r="B672" s="38"/>
      <c r="C672" s="44"/>
      <c r="D672" s="35"/>
      <c r="F672" s="61"/>
      <c r="G672" s="41"/>
      <c r="H672" s="41"/>
      <c r="I672" s="42"/>
      <c r="J672" s="41"/>
      <c r="K672" s="40"/>
      <c r="L672" s="28">
        <f t="shared" ca="1" si="33"/>
        <v>52051</v>
      </c>
    </row>
    <row r="673" spans="2:12" x14ac:dyDescent="0.25">
      <c r="B673" s="38"/>
      <c r="C673" s="44"/>
      <c r="D673" s="35"/>
      <c r="F673" s="61"/>
      <c r="G673" s="41"/>
      <c r="H673" s="41"/>
      <c r="I673" s="42"/>
      <c r="J673" s="41"/>
      <c r="K673" s="40"/>
      <c r="L673" s="28">
        <f t="shared" ca="1" si="33"/>
        <v>52051</v>
      </c>
    </row>
    <row r="674" spans="2:12" x14ac:dyDescent="0.25">
      <c r="B674" s="38"/>
      <c r="C674" s="44"/>
      <c r="D674" s="35"/>
      <c r="F674" s="61"/>
      <c r="G674" s="41"/>
      <c r="H674" s="41"/>
      <c r="I674" s="42"/>
      <c r="J674" s="41"/>
      <c r="K674" s="40"/>
      <c r="L674" s="28">
        <f t="shared" ca="1" si="33"/>
        <v>52051</v>
      </c>
    </row>
    <row r="675" spans="2:12" x14ac:dyDescent="0.25">
      <c r="B675" s="38"/>
      <c r="C675" s="39"/>
      <c r="D675" s="35"/>
      <c r="F675" s="61"/>
      <c r="G675" s="41"/>
      <c r="H675" s="41"/>
      <c r="I675" s="42"/>
      <c r="J675" s="41"/>
      <c r="K675" s="40"/>
      <c r="L675" s="28">
        <f t="shared" ca="1" si="33"/>
        <v>52051</v>
      </c>
    </row>
    <row r="676" spans="2:12" x14ac:dyDescent="0.25">
      <c r="B676" s="38"/>
      <c r="C676" s="39"/>
      <c r="D676" s="35"/>
      <c r="F676" s="61"/>
      <c r="G676" s="41"/>
      <c r="H676" s="41"/>
      <c r="I676" s="42"/>
      <c r="J676" s="41"/>
      <c r="K676" s="40"/>
      <c r="L676" s="28">
        <f t="shared" ca="1" si="33"/>
        <v>52051</v>
      </c>
    </row>
    <row r="677" spans="2:12" x14ac:dyDescent="0.25">
      <c r="B677" s="38"/>
      <c r="C677" s="45"/>
      <c r="D677" s="35"/>
      <c r="F677" s="38"/>
      <c r="G677" s="41"/>
      <c r="H677" s="41"/>
      <c r="I677" s="42"/>
      <c r="J677" s="41"/>
      <c r="K677" s="40"/>
      <c r="L677" s="28">
        <f t="shared" ca="1" si="33"/>
        <v>52051</v>
      </c>
    </row>
    <row r="678" spans="2:12" x14ac:dyDescent="0.25">
      <c r="B678" s="47"/>
      <c r="C678" s="48"/>
      <c r="D678" s="52">
        <f>SUBTOTAL(109,Octubre_2024[INGRESO])</f>
        <v>66120</v>
      </c>
      <c r="E678" s="52">
        <f>SUBTOTAL(109,Octubre_2024[EGRESO])</f>
        <v>14069</v>
      </c>
      <c r="F678" s="49"/>
      <c r="G678" s="50"/>
      <c r="H678" s="50"/>
      <c r="I678" s="51"/>
      <c r="J678" s="50"/>
      <c r="K678" s="49"/>
      <c r="L678" s="53"/>
    </row>
    <row r="679" spans="2:12" x14ac:dyDescent="0.25">
      <c r="D679" s="35"/>
    </row>
    <row r="680" spans="2:12" x14ac:dyDescent="0.25">
      <c r="B680" s="76" t="s">
        <v>130</v>
      </c>
      <c r="C680" s="77"/>
      <c r="D680" s="77"/>
      <c r="E680" s="77"/>
      <c r="F680" s="77"/>
      <c r="G680" s="77"/>
      <c r="H680" s="77"/>
      <c r="I680" s="77"/>
      <c r="J680" s="77"/>
      <c r="K680" s="77"/>
      <c r="L680" s="77"/>
    </row>
    <row r="681" spans="2:12" x14ac:dyDescent="0.25">
      <c r="B681" s="36" t="s">
        <v>16</v>
      </c>
      <c r="C681" s="37" t="s">
        <v>17</v>
      </c>
      <c r="D681" s="46" t="s">
        <v>73</v>
      </c>
      <c r="E681" s="46" t="s">
        <v>74</v>
      </c>
      <c r="F681" s="37" t="s">
        <v>54</v>
      </c>
      <c r="G681" s="37" t="s">
        <v>76</v>
      </c>
      <c r="H681" s="37" t="s">
        <v>77</v>
      </c>
      <c r="I681" s="37" t="s">
        <v>75</v>
      </c>
      <c r="J681" s="37" t="s">
        <v>18</v>
      </c>
      <c r="K681" s="37" t="s">
        <v>64</v>
      </c>
      <c r="L681" s="37" t="s">
        <v>19</v>
      </c>
    </row>
    <row r="682" spans="2:12" x14ac:dyDescent="0.25">
      <c r="B682" s="38"/>
      <c r="C682" s="39"/>
      <c r="D682" s="35"/>
      <c r="F682" s="61"/>
      <c r="G682" s="41"/>
      <c r="H682" s="41"/>
      <c r="I682" s="42"/>
      <c r="J682" s="41"/>
      <c r="K682" s="41"/>
      <c r="L682" s="28">
        <f t="shared" ref="L682:L731" ca="1" si="34">IF(ISERROR(OFFSET(L682,-1,0,1,1)+D682-E682),D682-E682,OFFSET(L682,-1,0,1,1)+D682-E682)</f>
        <v>0</v>
      </c>
    </row>
    <row r="683" spans="2:12" x14ac:dyDescent="0.25">
      <c r="B683" s="38"/>
      <c r="C683" s="39"/>
      <c r="D683" s="35"/>
      <c r="F683" s="61"/>
      <c r="G683" s="41"/>
      <c r="H683" s="41"/>
      <c r="I683" s="42"/>
      <c r="J683" s="41"/>
      <c r="K683" s="40"/>
      <c r="L683" s="28">
        <f t="shared" ca="1" si="34"/>
        <v>0</v>
      </c>
    </row>
    <row r="684" spans="2:12" x14ac:dyDescent="0.25">
      <c r="B684" s="38"/>
      <c r="C684" s="39"/>
      <c r="D684" s="35"/>
      <c r="F684" s="61"/>
      <c r="G684" s="41"/>
      <c r="H684" s="41"/>
      <c r="I684" s="42"/>
      <c r="J684" s="41"/>
      <c r="K684" s="40"/>
      <c r="L684" s="28">
        <f t="shared" ca="1" si="34"/>
        <v>0</v>
      </c>
    </row>
    <row r="685" spans="2:12" x14ac:dyDescent="0.25">
      <c r="B685" s="38"/>
      <c r="C685" s="43"/>
      <c r="D685" s="35"/>
      <c r="F685" s="61"/>
      <c r="G685" s="41"/>
      <c r="H685" s="41"/>
      <c r="I685" s="42"/>
      <c r="J685" s="41"/>
      <c r="K685" s="40"/>
      <c r="L685" s="28">
        <f t="shared" ca="1" si="34"/>
        <v>0</v>
      </c>
    </row>
    <row r="686" spans="2:12" x14ac:dyDescent="0.25">
      <c r="B686" s="38"/>
      <c r="C686" s="43"/>
      <c r="D686" s="35"/>
      <c r="F686" s="61"/>
      <c r="G686" s="41"/>
      <c r="H686" s="41"/>
      <c r="I686" s="42"/>
      <c r="J686" s="41"/>
      <c r="K686" s="40"/>
      <c r="L686" s="28">
        <f t="shared" ca="1" si="34"/>
        <v>0</v>
      </c>
    </row>
    <row r="687" spans="2:12" x14ac:dyDescent="0.25">
      <c r="B687" s="38"/>
      <c r="C687" s="44"/>
      <c r="D687" s="35"/>
      <c r="F687" s="61"/>
      <c r="G687" s="41"/>
      <c r="H687" s="41"/>
      <c r="I687" s="42"/>
      <c r="J687" s="41"/>
      <c r="K687" s="40"/>
      <c r="L687" s="28">
        <f t="shared" ca="1" si="34"/>
        <v>0</v>
      </c>
    </row>
    <row r="688" spans="2:12" x14ac:dyDescent="0.25">
      <c r="B688" s="38"/>
      <c r="C688" s="44"/>
      <c r="D688" s="35"/>
      <c r="F688" s="61"/>
      <c r="G688" s="41"/>
      <c r="H688" s="41"/>
      <c r="I688" s="42"/>
      <c r="J688" s="41"/>
      <c r="K688" s="40"/>
      <c r="L688" s="28">
        <f t="shared" ca="1" si="34"/>
        <v>0</v>
      </c>
    </row>
    <row r="689" spans="2:12" x14ac:dyDescent="0.25">
      <c r="B689" s="38"/>
      <c r="C689" s="44"/>
      <c r="D689" s="35"/>
      <c r="F689" s="61"/>
      <c r="G689" s="41"/>
      <c r="H689" s="41"/>
      <c r="I689" s="42"/>
      <c r="J689" s="41"/>
      <c r="K689" s="40"/>
      <c r="L689" s="28">
        <f t="shared" ca="1" si="34"/>
        <v>0</v>
      </c>
    </row>
    <row r="690" spans="2:12" x14ac:dyDescent="0.25">
      <c r="B690" s="38"/>
      <c r="C690" s="44"/>
      <c r="D690" s="35"/>
      <c r="F690" s="61"/>
      <c r="G690" s="41"/>
      <c r="H690" s="41"/>
      <c r="I690" s="42"/>
      <c r="J690" s="41"/>
      <c r="K690" s="40"/>
      <c r="L690" s="28">
        <f t="shared" ca="1" si="34"/>
        <v>0</v>
      </c>
    </row>
    <row r="691" spans="2:12" x14ac:dyDescent="0.25">
      <c r="B691" s="38"/>
      <c r="C691" s="44"/>
      <c r="D691" s="35"/>
      <c r="F691" s="61"/>
      <c r="G691" s="41"/>
      <c r="H691" s="41"/>
      <c r="I691" s="42"/>
      <c r="J691" s="41"/>
      <c r="K691" s="40"/>
      <c r="L691" s="28">
        <f t="shared" ca="1" si="34"/>
        <v>0</v>
      </c>
    </row>
    <row r="692" spans="2:12" x14ac:dyDescent="0.25">
      <c r="B692" s="38"/>
      <c r="C692" s="44"/>
      <c r="D692" s="35"/>
      <c r="F692" s="61"/>
      <c r="G692" s="41"/>
      <c r="H692" s="41"/>
      <c r="I692" s="42"/>
      <c r="J692" s="41"/>
      <c r="K692" s="40"/>
      <c r="L692" s="28">
        <f t="shared" ca="1" si="34"/>
        <v>0</v>
      </c>
    </row>
    <row r="693" spans="2:12" x14ac:dyDescent="0.25">
      <c r="B693" s="38"/>
      <c r="C693" s="44"/>
      <c r="D693" s="35"/>
      <c r="F693" s="61"/>
      <c r="G693" s="41"/>
      <c r="H693" s="41"/>
      <c r="I693" s="42"/>
      <c r="J693" s="41"/>
      <c r="K693" s="40"/>
      <c r="L693" s="28">
        <f t="shared" ca="1" si="34"/>
        <v>0</v>
      </c>
    </row>
    <row r="694" spans="2:12" x14ac:dyDescent="0.25">
      <c r="B694" s="38"/>
      <c r="C694" s="44"/>
      <c r="D694" s="35">
        <v>23750</v>
      </c>
      <c r="F694" s="67" t="s">
        <v>356</v>
      </c>
      <c r="G694" s="41" t="s">
        <v>80</v>
      </c>
      <c r="H694" s="41" t="s">
        <v>461</v>
      </c>
      <c r="I694" s="42" t="s">
        <v>479</v>
      </c>
      <c r="J694" s="41" t="s">
        <v>43</v>
      </c>
      <c r="K694" s="40"/>
      <c r="L694" s="28">
        <f t="shared" ca="1" si="34"/>
        <v>23750</v>
      </c>
    </row>
    <row r="695" spans="2:12" x14ac:dyDescent="0.25">
      <c r="B695" s="38"/>
      <c r="C695" s="44"/>
      <c r="D695" s="35">
        <v>19000</v>
      </c>
      <c r="F695" s="64" t="s">
        <v>356</v>
      </c>
      <c r="G695" s="41" t="s">
        <v>80</v>
      </c>
      <c r="H695" s="41" t="s">
        <v>427</v>
      </c>
      <c r="I695" s="42" t="s">
        <v>428</v>
      </c>
      <c r="J695" s="41" t="s">
        <v>43</v>
      </c>
      <c r="K695" s="40"/>
      <c r="L695" s="28">
        <f t="shared" ca="1" si="34"/>
        <v>42750</v>
      </c>
    </row>
    <row r="696" spans="2:12" x14ac:dyDescent="0.25">
      <c r="B696" s="38"/>
      <c r="C696" s="44"/>
      <c r="D696" s="35">
        <v>13000</v>
      </c>
      <c r="F696" s="67" t="s">
        <v>302</v>
      </c>
      <c r="G696" s="41" t="s">
        <v>80</v>
      </c>
      <c r="H696" s="41" t="s">
        <v>472</v>
      </c>
      <c r="I696" s="42"/>
      <c r="J696" s="41" t="s">
        <v>43</v>
      </c>
      <c r="K696" s="40"/>
      <c r="L696" s="28">
        <f t="shared" ca="1" si="34"/>
        <v>55750</v>
      </c>
    </row>
    <row r="697" spans="2:12" x14ac:dyDescent="0.25">
      <c r="B697" s="38"/>
      <c r="C697" s="44"/>
      <c r="D697" s="35">
        <v>14800</v>
      </c>
      <c r="F697" s="61" t="s">
        <v>555</v>
      </c>
      <c r="G697" s="41" t="s">
        <v>80</v>
      </c>
      <c r="H697" s="41" t="s">
        <v>561</v>
      </c>
      <c r="I697" s="42"/>
      <c r="J697" s="41" t="s">
        <v>43</v>
      </c>
      <c r="K697" s="40"/>
      <c r="L697" s="28">
        <f t="shared" ca="1" si="34"/>
        <v>70550</v>
      </c>
    </row>
    <row r="698" spans="2:12" x14ac:dyDescent="0.25">
      <c r="B698" s="38"/>
      <c r="C698" s="44"/>
      <c r="D698" s="35">
        <v>3000</v>
      </c>
      <c r="F698" s="61" t="s">
        <v>302</v>
      </c>
      <c r="G698" s="41" t="s">
        <v>80</v>
      </c>
      <c r="H698" s="41" t="s">
        <v>562</v>
      </c>
      <c r="I698" s="42"/>
      <c r="J698" s="41" t="s">
        <v>43</v>
      </c>
      <c r="K698" s="40"/>
      <c r="L698" s="28">
        <f t="shared" ca="1" si="34"/>
        <v>73550</v>
      </c>
    </row>
    <row r="699" spans="2:12" x14ac:dyDescent="0.25">
      <c r="B699" s="38"/>
      <c r="C699" s="44"/>
      <c r="D699" s="35">
        <v>6000</v>
      </c>
      <c r="F699" s="61" t="s">
        <v>534</v>
      </c>
      <c r="G699" s="41" t="s">
        <v>80</v>
      </c>
      <c r="H699" s="41" t="s">
        <v>563</v>
      </c>
      <c r="I699" s="42"/>
      <c r="J699" s="41" t="s">
        <v>43</v>
      </c>
      <c r="K699" s="40"/>
      <c r="L699" s="28">
        <f t="shared" ca="1" si="34"/>
        <v>79550</v>
      </c>
    </row>
    <row r="700" spans="2:12" x14ac:dyDescent="0.25">
      <c r="B700" s="38"/>
      <c r="C700" s="44"/>
      <c r="D700" s="35">
        <v>50000</v>
      </c>
      <c r="F700" s="61" t="s">
        <v>302</v>
      </c>
      <c r="G700" s="41" t="s">
        <v>80</v>
      </c>
      <c r="H700" s="41" t="s">
        <v>566</v>
      </c>
      <c r="I700" s="42"/>
      <c r="J700" s="41" t="s">
        <v>43</v>
      </c>
      <c r="K700" s="40"/>
      <c r="L700" s="28">
        <f t="shared" ca="1" si="34"/>
        <v>129550</v>
      </c>
    </row>
    <row r="701" spans="2:12" x14ac:dyDescent="0.25">
      <c r="B701" s="38"/>
      <c r="C701" s="44"/>
      <c r="D701" s="35">
        <v>12000</v>
      </c>
      <c r="F701" s="61" t="s">
        <v>539</v>
      </c>
      <c r="G701" s="41" t="s">
        <v>80</v>
      </c>
      <c r="H701" s="41" t="s">
        <v>568</v>
      </c>
      <c r="I701" s="42"/>
      <c r="J701" s="41" t="s">
        <v>43</v>
      </c>
      <c r="K701" s="40"/>
      <c r="L701" s="28">
        <f t="shared" ca="1" si="34"/>
        <v>141550</v>
      </c>
    </row>
    <row r="702" spans="2:12" x14ac:dyDescent="0.25">
      <c r="B702" s="38"/>
      <c r="C702" s="44"/>
      <c r="D702" s="35">
        <v>2500</v>
      </c>
      <c r="F702" s="61" t="s">
        <v>449</v>
      </c>
      <c r="G702" s="41" t="s">
        <v>80</v>
      </c>
      <c r="H702" s="41" t="s">
        <v>569</v>
      </c>
      <c r="I702" s="42"/>
      <c r="J702" s="41" t="s">
        <v>43</v>
      </c>
      <c r="K702" s="40"/>
      <c r="L702" s="28">
        <f t="shared" ca="1" si="34"/>
        <v>144050</v>
      </c>
    </row>
    <row r="703" spans="2:12" x14ac:dyDescent="0.25">
      <c r="B703" s="38"/>
      <c r="C703" s="44"/>
      <c r="D703" s="35">
        <v>460</v>
      </c>
      <c r="F703" s="61" t="s">
        <v>557</v>
      </c>
      <c r="G703" s="41" t="s">
        <v>80</v>
      </c>
      <c r="H703" s="41" t="s">
        <v>571</v>
      </c>
      <c r="I703" s="42"/>
      <c r="J703" s="41" t="s">
        <v>43</v>
      </c>
      <c r="K703" s="40"/>
      <c r="L703" s="28">
        <f t="shared" ca="1" si="34"/>
        <v>144510</v>
      </c>
    </row>
    <row r="704" spans="2:12" x14ac:dyDescent="0.25">
      <c r="B704" s="38"/>
      <c r="C704" s="39"/>
      <c r="D704" s="35">
        <v>2100</v>
      </c>
      <c r="F704" s="61" t="s">
        <v>291</v>
      </c>
      <c r="G704" s="41" t="s">
        <v>80</v>
      </c>
      <c r="H704" s="41" t="s">
        <v>573</v>
      </c>
      <c r="I704" s="42"/>
      <c r="J704" s="41" t="s">
        <v>43</v>
      </c>
      <c r="K704" s="40"/>
      <c r="L704" s="28">
        <f t="shared" ca="1" si="34"/>
        <v>146610</v>
      </c>
    </row>
    <row r="705" spans="2:12" x14ac:dyDescent="0.25">
      <c r="B705" s="38"/>
      <c r="C705" s="44"/>
      <c r="D705" s="35">
        <v>12150</v>
      </c>
      <c r="F705" s="61" t="s">
        <v>559</v>
      </c>
      <c r="G705" s="41" t="s">
        <v>80</v>
      </c>
      <c r="H705" s="41" t="s">
        <v>577</v>
      </c>
      <c r="I705" s="42"/>
      <c r="J705" s="41"/>
      <c r="K705" s="40"/>
      <c r="L705" s="28">
        <f t="shared" ca="1" si="34"/>
        <v>158760</v>
      </c>
    </row>
    <row r="706" spans="2:12" x14ac:dyDescent="0.25">
      <c r="B706" s="38"/>
      <c r="C706" s="44"/>
      <c r="D706" s="35"/>
      <c r="F706" s="61"/>
      <c r="G706" s="41"/>
      <c r="H706" s="41"/>
      <c r="I706" s="42"/>
      <c r="J706" s="41"/>
      <c r="K706" s="40"/>
      <c r="L706" s="28">
        <f t="shared" ca="1" si="34"/>
        <v>158760</v>
      </c>
    </row>
    <row r="707" spans="2:12" x14ac:dyDescent="0.25">
      <c r="B707" s="38"/>
      <c r="C707" s="43"/>
      <c r="D707" s="35"/>
      <c r="F707" s="61"/>
      <c r="G707" s="41"/>
      <c r="H707" s="41"/>
      <c r="I707" s="42"/>
      <c r="J707" s="41"/>
      <c r="K707" s="40"/>
      <c r="L707" s="28">
        <f t="shared" ca="1" si="34"/>
        <v>158760</v>
      </c>
    </row>
    <row r="708" spans="2:12" x14ac:dyDescent="0.25">
      <c r="B708" s="38"/>
      <c r="C708" s="44"/>
      <c r="D708" s="35"/>
      <c r="F708" s="61"/>
      <c r="G708" s="41"/>
      <c r="H708" s="41"/>
      <c r="I708" s="42"/>
      <c r="J708" s="41"/>
      <c r="K708" s="40"/>
      <c r="L708" s="28">
        <f t="shared" ca="1" si="34"/>
        <v>158760</v>
      </c>
    </row>
    <row r="709" spans="2:12" x14ac:dyDescent="0.25">
      <c r="B709" s="38"/>
      <c r="C709" s="44"/>
      <c r="D709" s="35"/>
      <c r="F709" s="61"/>
      <c r="G709" s="41"/>
      <c r="H709" s="41"/>
      <c r="I709" s="42"/>
      <c r="J709" s="41"/>
      <c r="K709" s="40"/>
      <c r="L709" s="28">
        <f t="shared" ca="1" si="34"/>
        <v>158760</v>
      </c>
    </row>
    <row r="710" spans="2:12" x14ac:dyDescent="0.25">
      <c r="B710" s="38"/>
      <c r="C710" s="44"/>
      <c r="D710" s="35"/>
      <c r="F710" s="61"/>
      <c r="G710" s="41"/>
      <c r="H710" s="41"/>
      <c r="I710" s="42"/>
      <c r="J710" s="41"/>
      <c r="K710" s="40"/>
      <c r="L710" s="28">
        <f t="shared" ca="1" si="34"/>
        <v>158760</v>
      </c>
    </row>
    <row r="711" spans="2:12" x14ac:dyDescent="0.25">
      <c r="B711" s="38"/>
      <c r="C711" s="44"/>
      <c r="D711" s="35"/>
      <c r="F711" s="61"/>
      <c r="G711" s="41"/>
      <c r="H711" s="41"/>
      <c r="I711" s="42"/>
      <c r="J711" s="41"/>
      <c r="K711" s="40"/>
      <c r="L711" s="28">
        <f t="shared" ca="1" si="34"/>
        <v>158760</v>
      </c>
    </row>
    <row r="712" spans="2:12" x14ac:dyDescent="0.25">
      <c r="B712" s="38"/>
      <c r="C712" s="44"/>
      <c r="D712" s="35"/>
      <c r="F712" s="61"/>
      <c r="G712" s="41"/>
      <c r="H712" s="41"/>
      <c r="I712" s="42"/>
      <c r="J712" s="41"/>
      <c r="K712" s="40"/>
      <c r="L712" s="28">
        <f t="shared" ca="1" si="34"/>
        <v>158760</v>
      </c>
    </row>
    <row r="713" spans="2:12" x14ac:dyDescent="0.25">
      <c r="B713" s="38"/>
      <c r="C713" s="44"/>
      <c r="D713" s="35"/>
      <c r="F713" s="61"/>
      <c r="G713" s="41"/>
      <c r="H713" s="41"/>
      <c r="I713" s="42"/>
      <c r="J713" s="41"/>
      <c r="K713" s="40"/>
      <c r="L713" s="28">
        <f t="shared" ca="1" si="34"/>
        <v>158760</v>
      </c>
    </row>
    <row r="714" spans="2:12" x14ac:dyDescent="0.25">
      <c r="B714" s="38"/>
      <c r="C714" s="44"/>
      <c r="D714" s="35"/>
      <c r="F714" s="61"/>
      <c r="G714" s="41"/>
      <c r="H714" s="41"/>
      <c r="I714" s="42"/>
      <c r="J714" s="41"/>
      <c r="K714" s="40"/>
      <c r="L714" s="28">
        <f t="shared" ca="1" si="34"/>
        <v>158760</v>
      </c>
    </row>
    <row r="715" spans="2:12" x14ac:dyDescent="0.25">
      <c r="B715" s="38"/>
      <c r="C715" s="44"/>
      <c r="D715" s="35"/>
      <c r="F715" s="61"/>
      <c r="G715" s="41"/>
      <c r="H715" s="41"/>
      <c r="I715" s="42"/>
      <c r="J715" s="41"/>
      <c r="K715" s="40"/>
      <c r="L715" s="28">
        <f t="shared" ca="1" si="34"/>
        <v>158760</v>
      </c>
    </row>
    <row r="716" spans="2:12" x14ac:dyDescent="0.25">
      <c r="B716" s="38"/>
      <c r="C716" s="44"/>
      <c r="D716" s="35"/>
      <c r="F716" s="61"/>
      <c r="G716" s="41"/>
      <c r="H716" s="41"/>
      <c r="I716" s="42"/>
      <c r="J716" s="41"/>
      <c r="K716" s="40"/>
      <c r="L716" s="28">
        <f t="shared" ca="1" si="34"/>
        <v>158760</v>
      </c>
    </row>
    <row r="717" spans="2:12" x14ac:dyDescent="0.25">
      <c r="B717" s="38"/>
      <c r="C717" s="44"/>
      <c r="D717" s="35"/>
      <c r="F717" s="61"/>
      <c r="G717" s="41"/>
      <c r="H717" s="41"/>
      <c r="I717" s="42"/>
      <c r="J717" s="41"/>
      <c r="K717" s="40"/>
      <c r="L717" s="28">
        <f t="shared" ca="1" si="34"/>
        <v>158760</v>
      </c>
    </row>
    <row r="718" spans="2:12" x14ac:dyDescent="0.25">
      <c r="B718" s="38"/>
      <c r="C718" s="44"/>
      <c r="D718" s="35"/>
      <c r="F718" s="61"/>
      <c r="G718" s="41"/>
      <c r="H718" s="41"/>
      <c r="I718" s="42"/>
      <c r="J718" s="41"/>
      <c r="K718" s="40"/>
      <c r="L718" s="28">
        <f t="shared" ca="1" si="34"/>
        <v>158760</v>
      </c>
    </row>
    <row r="719" spans="2:12" x14ac:dyDescent="0.25">
      <c r="B719" s="38"/>
      <c r="C719" s="44"/>
      <c r="D719" s="35"/>
      <c r="F719" s="61"/>
      <c r="G719" s="41"/>
      <c r="H719" s="41"/>
      <c r="I719" s="42"/>
      <c r="J719" s="41"/>
      <c r="K719" s="40"/>
      <c r="L719" s="28">
        <f t="shared" ca="1" si="34"/>
        <v>158760</v>
      </c>
    </row>
    <row r="720" spans="2:12" x14ac:dyDescent="0.25">
      <c r="B720" s="38"/>
      <c r="C720" s="44"/>
      <c r="D720" s="35"/>
      <c r="F720" s="61"/>
      <c r="G720" s="41"/>
      <c r="H720" s="41"/>
      <c r="I720" s="42"/>
      <c r="J720" s="41"/>
      <c r="K720" s="40"/>
      <c r="L720" s="28">
        <f t="shared" ca="1" si="34"/>
        <v>158760</v>
      </c>
    </row>
    <row r="721" spans="2:12" x14ac:dyDescent="0.25">
      <c r="B721" s="38"/>
      <c r="C721" s="44"/>
      <c r="D721" s="35"/>
      <c r="F721" s="61"/>
      <c r="G721" s="41"/>
      <c r="H721" s="41"/>
      <c r="I721" s="42"/>
      <c r="J721" s="41"/>
      <c r="K721" s="40"/>
      <c r="L721" s="28">
        <f t="shared" ca="1" si="34"/>
        <v>158760</v>
      </c>
    </row>
    <row r="722" spans="2:12" x14ac:dyDescent="0.25">
      <c r="B722" s="38"/>
      <c r="C722" s="44"/>
      <c r="D722" s="35"/>
      <c r="F722" s="61"/>
      <c r="G722" s="41"/>
      <c r="H722" s="41"/>
      <c r="I722" s="42"/>
      <c r="J722" s="41"/>
      <c r="K722" s="40"/>
      <c r="L722" s="28">
        <f t="shared" ca="1" si="34"/>
        <v>158760</v>
      </c>
    </row>
    <row r="723" spans="2:12" x14ac:dyDescent="0.25">
      <c r="B723" s="38"/>
      <c r="C723" s="44"/>
      <c r="D723" s="35"/>
      <c r="F723" s="61"/>
      <c r="G723" s="41"/>
      <c r="H723" s="41"/>
      <c r="I723" s="42"/>
      <c r="J723" s="41"/>
      <c r="K723" s="40"/>
      <c r="L723" s="28">
        <f t="shared" ca="1" si="34"/>
        <v>158760</v>
      </c>
    </row>
    <row r="724" spans="2:12" x14ac:dyDescent="0.25">
      <c r="B724" s="38"/>
      <c r="C724" s="44"/>
      <c r="D724" s="35"/>
      <c r="F724" s="61"/>
      <c r="G724" s="41"/>
      <c r="H724" s="41"/>
      <c r="I724" s="42"/>
      <c r="J724" s="41"/>
      <c r="K724" s="40"/>
      <c r="L724" s="28">
        <f t="shared" ca="1" si="34"/>
        <v>158760</v>
      </c>
    </row>
    <row r="725" spans="2:12" x14ac:dyDescent="0.25">
      <c r="B725" s="38"/>
      <c r="C725" s="44"/>
      <c r="D725" s="35"/>
      <c r="F725" s="61"/>
      <c r="G725" s="41"/>
      <c r="H725" s="41"/>
      <c r="I725" s="42"/>
      <c r="J725" s="41"/>
      <c r="K725" s="40"/>
      <c r="L725" s="28">
        <f t="shared" ca="1" si="34"/>
        <v>158760</v>
      </c>
    </row>
    <row r="726" spans="2:12" x14ac:dyDescent="0.25">
      <c r="B726" s="38"/>
      <c r="C726" s="44"/>
      <c r="D726" s="35"/>
      <c r="F726" s="61"/>
      <c r="G726" s="41"/>
      <c r="H726" s="41"/>
      <c r="I726" s="42"/>
      <c r="J726" s="41"/>
      <c r="K726" s="40"/>
      <c r="L726" s="28">
        <f t="shared" ca="1" si="34"/>
        <v>158760</v>
      </c>
    </row>
    <row r="727" spans="2:12" x14ac:dyDescent="0.25">
      <c r="B727" s="38"/>
      <c r="C727" s="44"/>
      <c r="D727" s="35"/>
      <c r="F727" s="40"/>
      <c r="G727" s="41"/>
      <c r="H727" s="41"/>
      <c r="I727" s="42"/>
      <c r="J727" s="41"/>
      <c r="K727" s="40"/>
      <c r="L727" s="28">
        <f t="shared" ca="1" si="34"/>
        <v>158760</v>
      </c>
    </row>
    <row r="728" spans="2:12" x14ac:dyDescent="0.25">
      <c r="B728" s="38"/>
      <c r="C728" s="44"/>
      <c r="D728" s="35"/>
      <c r="F728" s="61"/>
      <c r="G728" s="41"/>
      <c r="H728" s="41"/>
      <c r="I728" s="42"/>
      <c r="J728" s="41"/>
      <c r="K728" s="40"/>
      <c r="L728" s="28">
        <f t="shared" ca="1" si="34"/>
        <v>158760</v>
      </c>
    </row>
    <row r="729" spans="2:12" x14ac:dyDescent="0.25">
      <c r="B729" s="38"/>
      <c r="C729" s="44"/>
      <c r="D729" s="35"/>
      <c r="F729" s="61"/>
      <c r="G729" s="41"/>
      <c r="H729" s="41"/>
      <c r="I729" s="42"/>
      <c r="J729" s="41"/>
      <c r="K729" s="40"/>
      <c r="L729" s="28">
        <f t="shared" ca="1" si="34"/>
        <v>158760</v>
      </c>
    </row>
    <row r="730" spans="2:12" x14ac:dyDescent="0.25">
      <c r="B730" s="38"/>
      <c r="C730" s="44"/>
      <c r="D730" s="35"/>
      <c r="F730" s="61"/>
      <c r="G730" s="41"/>
      <c r="H730" s="41"/>
      <c r="I730" s="42"/>
      <c r="J730" s="41"/>
      <c r="K730" s="40"/>
      <c r="L730" s="28">
        <f t="shared" ca="1" si="34"/>
        <v>158760</v>
      </c>
    </row>
    <row r="731" spans="2:12" x14ac:dyDescent="0.25">
      <c r="B731" s="38"/>
      <c r="C731" s="45"/>
      <c r="D731" s="35"/>
      <c r="F731" s="38"/>
      <c r="G731" s="41"/>
      <c r="H731" s="41"/>
      <c r="I731" s="42"/>
      <c r="J731" s="41"/>
      <c r="K731" s="40"/>
      <c r="L731" s="28">
        <f t="shared" ca="1" si="34"/>
        <v>158760</v>
      </c>
    </row>
    <row r="732" spans="2:12" x14ac:dyDescent="0.25">
      <c r="B732" s="47"/>
      <c r="C732" s="48"/>
      <c r="D732" s="52">
        <f>SUBTOTAL(109,Noviembre_2024[INGRESO])</f>
        <v>158760</v>
      </c>
      <c r="E732" s="52">
        <f>SUBTOTAL(109,Noviembre_2024[EGRESO])</f>
        <v>0</v>
      </c>
      <c r="F732" s="49"/>
      <c r="G732" s="50"/>
      <c r="H732" s="50"/>
      <c r="I732" s="51"/>
      <c r="J732" s="50"/>
      <c r="K732" s="49"/>
      <c r="L732" s="53"/>
    </row>
    <row r="733" spans="2:12" x14ac:dyDescent="0.25">
      <c r="D733" s="35"/>
    </row>
    <row r="734" spans="2:12" x14ac:dyDescent="0.25">
      <c r="B734" s="76" t="s">
        <v>131</v>
      </c>
      <c r="C734" s="77"/>
      <c r="D734" s="77"/>
      <c r="E734" s="77"/>
      <c r="F734" s="77"/>
      <c r="G734" s="77"/>
      <c r="H734" s="77"/>
      <c r="I734" s="77"/>
      <c r="J734" s="77"/>
      <c r="K734" s="77"/>
      <c r="L734" s="77"/>
    </row>
    <row r="735" spans="2:12" x14ac:dyDescent="0.25">
      <c r="B735" s="36" t="s">
        <v>16</v>
      </c>
      <c r="C735" s="37" t="s">
        <v>17</v>
      </c>
      <c r="D735" s="46" t="s">
        <v>73</v>
      </c>
      <c r="E735" s="46" t="s">
        <v>74</v>
      </c>
      <c r="F735" s="37" t="s">
        <v>54</v>
      </c>
      <c r="G735" s="37" t="s">
        <v>76</v>
      </c>
      <c r="H735" s="37" t="s">
        <v>77</v>
      </c>
      <c r="I735" s="37" t="s">
        <v>75</v>
      </c>
      <c r="J735" s="37" t="s">
        <v>18</v>
      </c>
      <c r="K735" s="37" t="s">
        <v>64</v>
      </c>
      <c r="L735" s="37" t="s">
        <v>19</v>
      </c>
    </row>
    <row r="736" spans="2:12" x14ac:dyDescent="0.25">
      <c r="B736" s="38"/>
      <c r="C736" s="43"/>
      <c r="D736" s="35"/>
      <c r="F736" s="61"/>
      <c r="G736" s="41"/>
      <c r="H736" s="41"/>
      <c r="I736" s="63"/>
      <c r="J736" s="41"/>
      <c r="K736" s="41"/>
      <c r="L736" s="28">
        <f t="shared" ref="L736:L781" ca="1" si="35">IF(ISERROR(OFFSET(L736,-1,0,1,1)+D736-E736),D736-E736,OFFSET(L736,-1,0,1,1)+D736-E736)</f>
        <v>0</v>
      </c>
    </row>
    <row r="737" spans="2:12" x14ac:dyDescent="0.25">
      <c r="B737" s="38"/>
      <c r="C737" s="43"/>
      <c r="D737" s="35"/>
      <c r="F737" s="61"/>
      <c r="G737" s="41"/>
      <c r="H737" s="41"/>
      <c r="I737" s="63"/>
      <c r="J737" s="41"/>
      <c r="K737" s="40"/>
      <c r="L737" s="28">
        <f t="shared" ca="1" si="35"/>
        <v>0</v>
      </c>
    </row>
    <row r="738" spans="2:12" x14ac:dyDescent="0.25">
      <c r="B738" s="38"/>
      <c r="C738" s="43"/>
      <c r="D738" s="35"/>
      <c r="F738" s="61"/>
      <c r="G738" s="41"/>
      <c r="H738" s="41"/>
      <c r="I738" s="63"/>
      <c r="J738" s="41"/>
      <c r="K738" s="40"/>
      <c r="L738" s="28">
        <f t="shared" ca="1" si="35"/>
        <v>0</v>
      </c>
    </row>
    <row r="739" spans="2:12" x14ac:dyDescent="0.25">
      <c r="B739" s="38"/>
      <c r="C739" s="43"/>
      <c r="D739" s="35"/>
      <c r="F739" s="61"/>
      <c r="G739" s="41"/>
      <c r="H739" s="41"/>
      <c r="I739" s="63"/>
      <c r="J739" s="41"/>
      <c r="K739" s="40"/>
      <c r="L739" s="28">
        <f t="shared" ca="1" si="35"/>
        <v>0</v>
      </c>
    </row>
    <row r="740" spans="2:12" x14ac:dyDescent="0.25">
      <c r="B740" s="38"/>
      <c r="C740" s="43"/>
      <c r="D740" s="35"/>
      <c r="F740" s="61"/>
      <c r="G740" s="41"/>
      <c r="H740" s="41"/>
      <c r="I740" s="63"/>
      <c r="J740" s="41"/>
      <c r="K740" s="40"/>
      <c r="L740" s="28">
        <f t="shared" ca="1" si="35"/>
        <v>0</v>
      </c>
    </row>
    <row r="741" spans="2:12" x14ac:dyDescent="0.25">
      <c r="B741" s="38"/>
      <c r="C741" s="43"/>
      <c r="D741" s="35"/>
      <c r="F741" s="61"/>
      <c r="G741" s="41"/>
      <c r="H741" s="41"/>
      <c r="I741" s="63"/>
      <c r="J741" s="41"/>
      <c r="K741" s="40"/>
      <c r="L741" s="28">
        <f t="shared" ca="1" si="35"/>
        <v>0</v>
      </c>
    </row>
    <row r="742" spans="2:12" x14ac:dyDescent="0.25">
      <c r="B742" s="38"/>
      <c r="C742" s="43"/>
      <c r="D742" s="35"/>
      <c r="F742" s="61"/>
      <c r="G742" s="41"/>
      <c r="H742" s="41"/>
      <c r="I742" s="63"/>
      <c r="J742" s="41"/>
      <c r="K742" s="40"/>
      <c r="L742" s="28">
        <f t="shared" ca="1" si="35"/>
        <v>0</v>
      </c>
    </row>
    <row r="743" spans="2:12" x14ac:dyDescent="0.25">
      <c r="B743" s="38"/>
      <c r="C743" s="43"/>
      <c r="D743" s="35"/>
      <c r="F743" s="61"/>
      <c r="G743" s="41"/>
      <c r="H743" s="41"/>
      <c r="I743" s="63"/>
      <c r="J743" s="41"/>
      <c r="K743" s="40"/>
      <c r="L743" s="28">
        <f t="shared" ca="1" si="35"/>
        <v>0</v>
      </c>
    </row>
    <row r="744" spans="2:12" x14ac:dyDescent="0.25">
      <c r="B744" s="38"/>
      <c r="C744" s="43"/>
      <c r="D744" s="35"/>
      <c r="F744" s="61"/>
      <c r="G744" s="41"/>
      <c r="H744" s="41"/>
      <c r="I744" s="63"/>
      <c r="J744" s="41"/>
      <c r="K744" s="40"/>
      <c r="L744" s="28">
        <f t="shared" ca="1" si="35"/>
        <v>0</v>
      </c>
    </row>
    <row r="745" spans="2:12" x14ac:dyDescent="0.25">
      <c r="B745" s="38"/>
      <c r="C745" s="43"/>
      <c r="D745" s="35"/>
      <c r="F745" s="61"/>
      <c r="G745" s="41"/>
      <c r="H745" s="41"/>
      <c r="I745" s="63"/>
      <c r="J745" s="41"/>
      <c r="K745" s="40"/>
      <c r="L745" s="28">
        <f t="shared" ca="1" si="35"/>
        <v>0</v>
      </c>
    </row>
    <row r="746" spans="2:12" x14ac:dyDescent="0.25">
      <c r="B746" s="38"/>
      <c r="C746" s="43"/>
      <c r="D746" s="35"/>
      <c r="F746" s="61"/>
      <c r="G746" s="41"/>
      <c r="H746" s="41"/>
      <c r="I746" s="63"/>
      <c r="J746" s="41"/>
      <c r="K746" s="40"/>
      <c r="L746" s="28">
        <f t="shared" ca="1" si="35"/>
        <v>0</v>
      </c>
    </row>
    <row r="747" spans="2:12" x14ac:dyDescent="0.25">
      <c r="B747" s="38"/>
      <c r="C747" s="43"/>
      <c r="D747" s="35"/>
      <c r="F747" s="61"/>
      <c r="G747" s="41"/>
      <c r="H747" s="41"/>
      <c r="I747" s="63"/>
      <c r="J747" s="41"/>
      <c r="K747" s="40"/>
      <c r="L747" s="28">
        <f t="shared" ca="1" si="35"/>
        <v>0</v>
      </c>
    </row>
    <row r="748" spans="2:12" x14ac:dyDescent="0.25">
      <c r="B748" s="38"/>
      <c r="C748" s="43"/>
      <c r="D748" s="35"/>
      <c r="F748" s="61"/>
      <c r="G748" s="41"/>
      <c r="H748" s="41"/>
      <c r="I748" s="63"/>
      <c r="J748" s="41"/>
      <c r="K748" s="40"/>
      <c r="L748" s="28">
        <f t="shared" ca="1" si="35"/>
        <v>0</v>
      </c>
    </row>
    <row r="749" spans="2:12" x14ac:dyDescent="0.25">
      <c r="B749" s="38"/>
      <c r="C749" s="43"/>
      <c r="D749" s="35"/>
      <c r="F749" s="61"/>
      <c r="G749" s="41"/>
      <c r="H749" s="41"/>
      <c r="I749" s="63"/>
      <c r="J749" s="41"/>
      <c r="K749" s="40"/>
      <c r="L749" s="28">
        <f t="shared" ca="1" si="35"/>
        <v>0</v>
      </c>
    </row>
    <row r="750" spans="2:12" x14ac:dyDescent="0.25">
      <c r="B750" s="38"/>
      <c r="C750" s="43"/>
      <c r="D750" s="35"/>
      <c r="F750" s="61"/>
      <c r="G750" s="41"/>
      <c r="H750" s="41"/>
      <c r="I750" s="63"/>
      <c r="J750" s="41"/>
      <c r="K750" s="40"/>
      <c r="L750" s="28">
        <f t="shared" ca="1" si="35"/>
        <v>0</v>
      </c>
    </row>
    <row r="751" spans="2:12" x14ac:dyDescent="0.25">
      <c r="B751" s="38"/>
      <c r="C751" s="45"/>
      <c r="D751" s="35"/>
      <c r="F751" s="61"/>
      <c r="G751" s="41"/>
      <c r="H751" s="41"/>
      <c r="I751" s="63"/>
      <c r="J751" s="41"/>
      <c r="K751" s="40"/>
      <c r="L751" s="28">
        <f t="shared" ca="1" si="35"/>
        <v>0</v>
      </c>
    </row>
    <row r="752" spans="2:12" x14ac:dyDescent="0.25">
      <c r="B752" s="38"/>
      <c r="C752" s="45"/>
      <c r="D752" s="35"/>
      <c r="F752" s="61"/>
      <c r="G752" s="41"/>
      <c r="H752" s="41"/>
      <c r="I752" s="63"/>
      <c r="J752" s="41"/>
      <c r="K752" s="40"/>
      <c r="L752" s="28">
        <f t="shared" ca="1" si="35"/>
        <v>0</v>
      </c>
    </row>
    <row r="753" spans="2:12" x14ac:dyDescent="0.25">
      <c r="B753" s="38"/>
      <c r="C753" s="45"/>
      <c r="D753" s="35"/>
      <c r="F753" s="61"/>
      <c r="G753" s="41"/>
      <c r="H753" s="41"/>
      <c r="I753" s="63"/>
      <c r="J753" s="41"/>
      <c r="K753" s="40"/>
      <c r="L753" s="28">
        <f t="shared" ca="1" si="35"/>
        <v>0</v>
      </c>
    </row>
    <row r="754" spans="2:12" x14ac:dyDescent="0.25">
      <c r="B754" s="38"/>
      <c r="C754" s="45"/>
      <c r="D754" s="35"/>
      <c r="F754" s="61"/>
      <c r="G754" s="41"/>
      <c r="H754" s="41"/>
      <c r="I754" s="63"/>
      <c r="J754" s="41"/>
      <c r="K754" s="40"/>
      <c r="L754" s="28">
        <f t="shared" ca="1" si="35"/>
        <v>0</v>
      </c>
    </row>
    <row r="755" spans="2:12" x14ac:dyDescent="0.25">
      <c r="B755" s="38"/>
      <c r="C755" s="45"/>
      <c r="D755" s="35"/>
      <c r="F755" s="61"/>
      <c r="G755" s="41"/>
      <c r="H755" s="41"/>
      <c r="I755" s="63"/>
      <c r="J755" s="41"/>
      <c r="K755" s="40"/>
      <c r="L755" s="28">
        <f t="shared" ca="1" si="35"/>
        <v>0</v>
      </c>
    </row>
    <row r="756" spans="2:12" x14ac:dyDescent="0.25">
      <c r="B756" s="38"/>
      <c r="C756" s="45"/>
      <c r="D756" s="35"/>
      <c r="F756" s="61"/>
      <c r="G756" s="41"/>
      <c r="H756" s="41"/>
      <c r="I756" s="63"/>
      <c r="J756" s="41"/>
      <c r="K756" s="40"/>
      <c r="L756" s="28">
        <f t="shared" ca="1" si="35"/>
        <v>0</v>
      </c>
    </row>
    <row r="757" spans="2:12" x14ac:dyDescent="0.25">
      <c r="B757" s="38"/>
      <c r="C757" s="43"/>
      <c r="D757" s="35"/>
      <c r="F757" s="61"/>
      <c r="G757" s="41"/>
      <c r="H757" s="41"/>
      <c r="I757" s="63"/>
      <c r="J757" s="41"/>
      <c r="K757" s="40"/>
      <c r="L757" s="28">
        <f t="shared" ca="1" si="35"/>
        <v>0</v>
      </c>
    </row>
    <row r="758" spans="2:12" x14ac:dyDescent="0.25">
      <c r="B758" s="38"/>
      <c r="C758" s="43"/>
      <c r="D758" s="35"/>
      <c r="F758" s="61"/>
      <c r="G758" s="41"/>
      <c r="H758" s="41"/>
      <c r="I758" s="63"/>
      <c r="J758" s="41"/>
      <c r="K758" s="40"/>
      <c r="L758" s="28">
        <f t="shared" ca="1" si="35"/>
        <v>0</v>
      </c>
    </row>
    <row r="759" spans="2:12" x14ac:dyDescent="0.25">
      <c r="B759" s="38"/>
      <c r="C759" s="43"/>
      <c r="D759" s="35"/>
      <c r="F759" s="64"/>
      <c r="G759" s="41"/>
      <c r="H759" s="41"/>
      <c r="I759" s="42"/>
      <c r="J759" s="41"/>
      <c r="K759" s="40"/>
      <c r="L759" s="28">
        <f t="shared" ca="1" si="35"/>
        <v>0</v>
      </c>
    </row>
    <row r="760" spans="2:12" x14ac:dyDescent="0.25">
      <c r="B760" s="38"/>
      <c r="C760" s="43"/>
      <c r="D760" s="35"/>
      <c r="F760" s="64"/>
      <c r="G760" s="41"/>
      <c r="H760" s="41"/>
      <c r="I760" s="42"/>
      <c r="J760" s="41"/>
      <c r="K760" s="40"/>
      <c r="L760" s="28">
        <f t="shared" ca="1" si="35"/>
        <v>0</v>
      </c>
    </row>
    <row r="761" spans="2:12" x14ac:dyDescent="0.25">
      <c r="B761" s="38"/>
      <c r="C761" s="43"/>
      <c r="D761" s="35"/>
      <c r="F761" s="64"/>
      <c r="G761" s="41"/>
      <c r="H761" s="41"/>
      <c r="I761" s="42"/>
      <c r="J761" s="41"/>
      <c r="K761" s="40"/>
      <c r="L761" s="28">
        <f t="shared" ca="1" si="35"/>
        <v>0</v>
      </c>
    </row>
    <row r="762" spans="2:12" x14ac:dyDescent="0.25">
      <c r="B762" s="38"/>
      <c r="C762" s="45"/>
      <c r="D762" s="35"/>
      <c r="F762" s="61"/>
      <c r="G762" s="41"/>
      <c r="H762" s="41"/>
      <c r="I762" s="63"/>
      <c r="J762" s="41"/>
      <c r="K762" s="40"/>
      <c r="L762" s="28">
        <f t="shared" ca="1" si="35"/>
        <v>0</v>
      </c>
    </row>
    <row r="763" spans="2:12" x14ac:dyDescent="0.25">
      <c r="B763" s="38"/>
      <c r="C763" s="45"/>
      <c r="D763" s="35"/>
      <c r="F763" s="61"/>
      <c r="G763" s="41"/>
      <c r="H763" s="41"/>
      <c r="I763" s="63"/>
      <c r="J763" s="41"/>
      <c r="K763" s="40"/>
      <c r="L763" s="28">
        <f t="shared" ca="1" si="35"/>
        <v>0</v>
      </c>
    </row>
    <row r="764" spans="2:12" x14ac:dyDescent="0.25">
      <c r="B764" s="38"/>
      <c r="C764" s="43"/>
      <c r="D764" s="35"/>
      <c r="F764" s="61"/>
      <c r="G764" s="41"/>
      <c r="H764" s="41"/>
      <c r="I764" s="63"/>
      <c r="J764" s="41"/>
      <c r="K764" s="40"/>
      <c r="L764" s="28">
        <f t="shared" ca="1" si="35"/>
        <v>0</v>
      </c>
    </row>
    <row r="765" spans="2:12" x14ac:dyDescent="0.25">
      <c r="B765" s="38"/>
      <c r="C765" s="43"/>
      <c r="D765" s="35"/>
      <c r="F765" s="61"/>
      <c r="G765" s="41"/>
      <c r="H765" s="41"/>
      <c r="I765" s="63"/>
      <c r="J765" s="41"/>
      <c r="K765" s="40"/>
      <c r="L765" s="28">
        <f t="shared" ca="1" si="35"/>
        <v>0</v>
      </c>
    </row>
    <row r="766" spans="2:12" x14ac:dyDescent="0.25">
      <c r="B766" s="38"/>
      <c r="C766" s="43"/>
      <c r="D766" s="35"/>
      <c r="F766" s="61"/>
      <c r="G766" s="41"/>
      <c r="H766" s="41"/>
      <c r="I766" s="63"/>
      <c r="J766" s="41"/>
      <c r="K766" s="40"/>
      <c r="L766" s="28">
        <f t="shared" ca="1" si="35"/>
        <v>0</v>
      </c>
    </row>
    <row r="767" spans="2:12" x14ac:dyDescent="0.25">
      <c r="B767" s="38"/>
      <c r="C767" s="43"/>
      <c r="D767" s="35"/>
      <c r="F767" s="61"/>
      <c r="G767" s="41"/>
      <c r="H767" s="41"/>
      <c r="I767" s="63"/>
      <c r="J767" s="41"/>
      <c r="K767" s="40"/>
      <c r="L767" s="28">
        <f t="shared" ca="1" si="35"/>
        <v>0</v>
      </c>
    </row>
    <row r="768" spans="2:12" x14ac:dyDescent="0.25">
      <c r="B768" s="38"/>
      <c r="C768" s="43"/>
      <c r="D768" s="35"/>
      <c r="F768" s="61"/>
      <c r="G768" s="41"/>
      <c r="H768" s="41"/>
      <c r="I768" s="63"/>
      <c r="J768" s="41"/>
      <c r="K768" s="40"/>
      <c r="L768" s="28">
        <f t="shared" ca="1" si="35"/>
        <v>0</v>
      </c>
    </row>
    <row r="769" spans="2:12" x14ac:dyDescent="0.25">
      <c r="B769" s="38"/>
      <c r="C769" s="43"/>
      <c r="D769" s="35"/>
      <c r="F769" s="61"/>
      <c r="G769" s="41"/>
      <c r="H769" s="41"/>
      <c r="I769" s="63"/>
      <c r="J769" s="41"/>
      <c r="K769" s="40"/>
      <c r="L769" s="28">
        <f t="shared" ca="1" si="35"/>
        <v>0</v>
      </c>
    </row>
    <row r="770" spans="2:12" x14ac:dyDescent="0.25">
      <c r="B770" s="38"/>
      <c r="C770" s="43"/>
      <c r="D770" s="35"/>
      <c r="F770" s="61"/>
      <c r="G770" s="41"/>
      <c r="H770" s="41"/>
      <c r="I770" s="63"/>
      <c r="J770" s="41"/>
      <c r="K770" s="40"/>
      <c r="L770" s="28">
        <f t="shared" ca="1" si="35"/>
        <v>0</v>
      </c>
    </row>
    <row r="771" spans="2:12" x14ac:dyDescent="0.25">
      <c r="B771" s="38"/>
      <c r="C771" s="43"/>
      <c r="D771" s="35"/>
      <c r="F771" s="61"/>
      <c r="G771" s="41"/>
      <c r="H771" s="41"/>
      <c r="I771" s="63"/>
      <c r="J771" s="41"/>
      <c r="K771" s="40"/>
      <c r="L771" s="28">
        <f t="shared" ca="1" si="35"/>
        <v>0</v>
      </c>
    </row>
    <row r="772" spans="2:12" x14ac:dyDescent="0.25">
      <c r="B772" s="38"/>
      <c r="C772" s="43"/>
      <c r="D772" s="35"/>
      <c r="F772" s="61"/>
      <c r="G772" s="41"/>
      <c r="H772" s="41"/>
      <c r="I772" s="63"/>
      <c r="J772" s="41"/>
      <c r="K772" s="40"/>
      <c r="L772" s="28">
        <f t="shared" ca="1" si="35"/>
        <v>0</v>
      </c>
    </row>
    <row r="773" spans="2:12" x14ac:dyDescent="0.25">
      <c r="B773" s="38"/>
      <c r="C773" s="43"/>
      <c r="D773" s="35"/>
      <c r="F773" s="61"/>
      <c r="G773" s="41"/>
      <c r="H773" s="41"/>
      <c r="I773" s="63"/>
      <c r="J773" s="41"/>
      <c r="K773" s="40"/>
      <c r="L773" s="28">
        <f t="shared" ca="1" si="35"/>
        <v>0</v>
      </c>
    </row>
    <row r="774" spans="2:12" x14ac:dyDescent="0.25">
      <c r="B774" s="38"/>
      <c r="C774" s="43"/>
      <c r="D774" s="35"/>
      <c r="F774" s="61"/>
      <c r="G774" s="41"/>
      <c r="H774" s="41"/>
      <c r="I774" s="63"/>
      <c r="J774" s="41"/>
      <c r="K774" s="40"/>
      <c r="L774" s="28">
        <f t="shared" ca="1" si="35"/>
        <v>0</v>
      </c>
    </row>
    <row r="775" spans="2:12" x14ac:dyDescent="0.25">
      <c r="B775" s="38"/>
      <c r="C775" s="43"/>
      <c r="D775" s="35"/>
      <c r="F775" s="61"/>
      <c r="G775" s="41"/>
      <c r="H775" s="41"/>
      <c r="I775" s="63"/>
      <c r="J775" s="41"/>
      <c r="K775" s="40"/>
      <c r="L775" s="28">
        <f t="shared" ca="1" si="35"/>
        <v>0</v>
      </c>
    </row>
    <row r="776" spans="2:12" x14ac:dyDescent="0.25">
      <c r="B776" s="38"/>
      <c r="C776" s="43"/>
      <c r="D776" s="35"/>
      <c r="F776" s="61"/>
      <c r="G776" s="41"/>
      <c r="H776" s="41"/>
      <c r="I776" s="63"/>
      <c r="J776" s="41"/>
      <c r="K776" s="40"/>
      <c r="L776" s="28">
        <f t="shared" ca="1" si="35"/>
        <v>0</v>
      </c>
    </row>
    <row r="777" spans="2:12" x14ac:dyDescent="0.25">
      <c r="B777" s="38"/>
      <c r="C777" s="43"/>
      <c r="D777" s="35"/>
      <c r="F777" s="61"/>
      <c r="G777" s="41"/>
      <c r="H777" s="41"/>
      <c r="I777" s="63"/>
      <c r="J777" s="41"/>
      <c r="K777" s="40"/>
      <c r="L777" s="28">
        <f t="shared" ca="1" si="35"/>
        <v>0</v>
      </c>
    </row>
    <row r="778" spans="2:12" x14ac:dyDescent="0.25">
      <c r="B778" s="38"/>
      <c r="C778" s="43"/>
      <c r="D778" s="35"/>
      <c r="F778" s="61"/>
      <c r="G778" s="41"/>
      <c r="H778" s="41"/>
      <c r="I778" s="63"/>
      <c r="J778" s="41"/>
      <c r="K778" s="40"/>
      <c r="L778" s="28">
        <f t="shared" ca="1" si="35"/>
        <v>0</v>
      </c>
    </row>
    <row r="779" spans="2:12" x14ac:dyDescent="0.25">
      <c r="B779" s="38"/>
      <c r="C779" s="43"/>
      <c r="D779" s="35"/>
      <c r="F779" s="61"/>
      <c r="G779" s="41"/>
      <c r="H779" s="41"/>
      <c r="I779" s="63"/>
      <c r="J779" s="41"/>
      <c r="K779" s="40"/>
      <c r="L779" s="28">
        <f t="shared" ca="1" si="35"/>
        <v>0</v>
      </c>
    </row>
    <row r="780" spans="2:12" x14ac:dyDescent="0.25">
      <c r="B780" s="38"/>
      <c r="C780" s="45"/>
      <c r="D780" s="35"/>
      <c r="F780" s="38"/>
      <c r="G780" s="41"/>
      <c r="H780" s="41"/>
      <c r="I780" s="63"/>
      <c r="J780" s="41"/>
      <c r="K780" s="40"/>
      <c r="L780" s="28">
        <f t="shared" ca="1" si="35"/>
        <v>0</v>
      </c>
    </row>
    <row r="781" spans="2:12" x14ac:dyDescent="0.25">
      <c r="B781" s="38"/>
      <c r="C781" s="45"/>
      <c r="D781" s="35"/>
      <c r="F781" s="38"/>
      <c r="G781" s="41"/>
      <c r="H781" s="41"/>
      <c r="I781" s="63"/>
      <c r="J781" s="41"/>
      <c r="K781" s="40"/>
      <c r="L781" s="28">
        <f t="shared" ca="1" si="35"/>
        <v>0</v>
      </c>
    </row>
    <row r="782" spans="2:12" x14ac:dyDescent="0.25">
      <c r="B782" s="47"/>
      <c r="C782" s="48"/>
      <c r="D782" s="52">
        <f>SUBTOTAL(109,Diciembre_2024[INGRESO])</f>
        <v>0</v>
      </c>
      <c r="E782" s="52">
        <f>SUBTOTAL(109,Diciembre_2024[EGRESO])</f>
        <v>0</v>
      </c>
      <c r="F782" s="49"/>
      <c r="G782" s="50"/>
      <c r="H782" s="50"/>
      <c r="I782" s="51"/>
      <c r="J782" s="50"/>
      <c r="K782" s="49"/>
      <c r="L782" s="53"/>
    </row>
    <row r="783" spans="2:12" x14ac:dyDescent="0.25">
      <c r="D783" s="35"/>
    </row>
    <row r="784" spans="2:12" x14ac:dyDescent="0.25">
      <c r="D784" s="35"/>
    </row>
    <row r="785" spans="4:4" x14ac:dyDescent="0.25">
      <c r="D785" s="35"/>
    </row>
    <row r="786" spans="4:4" x14ac:dyDescent="0.25">
      <c r="D786" s="35"/>
    </row>
    <row r="787" spans="4:4" x14ac:dyDescent="0.25">
      <c r="D787" s="35"/>
    </row>
    <row r="788" spans="4:4" x14ac:dyDescent="0.25">
      <c r="D788" s="35"/>
    </row>
    <row r="789" spans="4:4" x14ac:dyDescent="0.25">
      <c r="D789" s="35"/>
    </row>
    <row r="790" spans="4:4" x14ac:dyDescent="0.25">
      <c r="D790" s="35"/>
    </row>
    <row r="791" spans="4:4" x14ac:dyDescent="0.25">
      <c r="D791" s="35"/>
    </row>
    <row r="792" spans="4:4" x14ac:dyDescent="0.25">
      <c r="D792" s="35"/>
    </row>
    <row r="793" spans="4:4" x14ac:dyDescent="0.25">
      <c r="D793" s="35"/>
    </row>
    <row r="794" spans="4:4" x14ac:dyDescent="0.25">
      <c r="D794" s="35"/>
    </row>
    <row r="795" spans="4:4" x14ac:dyDescent="0.25">
      <c r="D795" s="35"/>
    </row>
    <row r="796" spans="4:4" x14ac:dyDescent="0.25">
      <c r="D796" s="35"/>
    </row>
    <row r="797" spans="4:4" x14ac:dyDescent="0.25">
      <c r="D797" s="35"/>
    </row>
    <row r="798" spans="4:4" x14ac:dyDescent="0.25">
      <c r="D798" s="35"/>
    </row>
    <row r="799" spans="4:4" x14ac:dyDescent="0.25">
      <c r="D799" s="35"/>
    </row>
    <row r="800" spans="4:4" x14ac:dyDescent="0.25">
      <c r="D800" s="35"/>
    </row>
    <row r="801" spans="4:4" x14ac:dyDescent="0.25">
      <c r="D801" s="35"/>
    </row>
    <row r="802" spans="4:4" x14ac:dyDescent="0.25">
      <c r="D802" s="35"/>
    </row>
    <row r="803" spans="4:4" x14ac:dyDescent="0.25">
      <c r="D803" s="35"/>
    </row>
    <row r="804" spans="4:4" x14ac:dyDescent="0.25">
      <c r="D804" s="35"/>
    </row>
    <row r="805" spans="4:4" x14ac:dyDescent="0.25">
      <c r="D805" s="35"/>
    </row>
    <row r="806" spans="4:4" x14ac:dyDescent="0.25">
      <c r="D806" s="35"/>
    </row>
    <row r="807" spans="4:4" x14ac:dyDescent="0.25">
      <c r="D807" s="35"/>
    </row>
    <row r="808" spans="4:4" x14ac:dyDescent="0.25">
      <c r="D808" s="35"/>
    </row>
    <row r="809" spans="4:4" x14ac:dyDescent="0.25">
      <c r="D809" s="35"/>
    </row>
    <row r="810" spans="4:4" x14ac:dyDescent="0.25">
      <c r="D810" s="35"/>
    </row>
    <row r="811" spans="4:4" x14ac:dyDescent="0.25">
      <c r="D811" s="35"/>
    </row>
    <row r="812" spans="4:4" x14ac:dyDescent="0.25">
      <c r="D812" s="35"/>
    </row>
    <row r="813" spans="4:4" x14ac:dyDescent="0.25">
      <c r="D813" s="35"/>
    </row>
    <row r="814" spans="4:4" x14ac:dyDescent="0.25">
      <c r="D814" s="35"/>
    </row>
    <row r="815" spans="4:4" x14ac:dyDescent="0.25">
      <c r="D815" s="35"/>
    </row>
    <row r="816" spans="4:4" x14ac:dyDescent="0.25">
      <c r="D816" s="35"/>
    </row>
    <row r="817" spans="4:4" x14ac:dyDescent="0.25">
      <c r="D817" s="35"/>
    </row>
    <row r="818" spans="4:4" x14ac:dyDescent="0.25">
      <c r="D818" s="35"/>
    </row>
    <row r="819" spans="4:4" x14ac:dyDescent="0.25">
      <c r="D819" s="35"/>
    </row>
    <row r="820" spans="4:4" x14ac:dyDescent="0.25">
      <c r="D820" s="35"/>
    </row>
    <row r="821" spans="4:4" x14ac:dyDescent="0.25">
      <c r="D821" s="35"/>
    </row>
    <row r="822" spans="4:4" x14ac:dyDescent="0.25">
      <c r="D822" s="35"/>
    </row>
    <row r="823" spans="4:4" x14ac:dyDescent="0.25">
      <c r="D823" s="35"/>
    </row>
    <row r="824" spans="4:4" x14ac:dyDescent="0.25">
      <c r="D824" s="35"/>
    </row>
    <row r="825" spans="4:4" x14ac:dyDescent="0.25">
      <c r="D825" s="35"/>
    </row>
    <row r="826" spans="4:4" x14ac:dyDescent="0.25">
      <c r="D826" s="35"/>
    </row>
    <row r="827" spans="4:4" x14ac:dyDescent="0.25">
      <c r="D827" s="35"/>
    </row>
    <row r="828" spans="4:4" x14ac:dyDescent="0.25">
      <c r="D828" s="35"/>
    </row>
    <row r="829" spans="4:4" x14ac:dyDescent="0.25">
      <c r="D829" s="35"/>
    </row>
    <row r="830" spans="4:4" x14ac:dyDescent="0.25">
      <c r="D830" s="35"/>
    </row>
    <row r="831" spans="4:4" x14ac:dyDescent="0.25">
      <c r="D831" s="35"/>
    </row>
    <row r="832" spans="4:4" x14ac:dyDescent="0.25">
      <c r="D832" s="35"/>
    </row>
    <row r="833" spans="4:4" x14ac:dyDescent="0.25">
      <c r="D833" s="35"/>
    </row>
    <row r="834" spans="4:4" x14ac:dyDescent="0.25">
      <c r="D834" s="35"/>
    </row>
    <row r="835" spans="4:4" x14ac:dyDescent="0.25">
      <c r="D835" s="35"/>
    </row>
    <row r="836" spans="4:4" x14ac:dyDescent="0.25">
      <c r="D836" s="35"/>
    </row>
    <row r="837" spans="4:4" x14ac:dyDescent="0.25">
      <c r="D837" s="35"/>
    </row>
    <row r="838" spans="4:4" x14ac:dyDescent="0.25">
      <c r="D838" s="35"/>
    </row>
    <row r="839" spans="4:4" x14ac:dyDescent="0.25">
      <c r="D839" s="35"/>
    </row>
    <row r="840" spans="4:4" x14ac:dyDescent="0.25">
      <c r="D840" s="35"/>
    </row>
    <row r="841" spans="4:4" x14ac:dyDescent="0.25">
      <c r="D841" s="35"/>
    </row>
    <row r="842" spans="4:4" x14ac:dyDescent="0.25">
      <c r="D842" s="35"/>
    </row>
    <row r="843" spans="4:4" x14ac:dyDescent="0.25">
      <c r="D843" s="35"/>
    </row>
    <row r="844" spans="4:4" x14ac:dyDescent="0.25">
      <c r="D844" s="35"/>
    </row>
    <row r="845" spans="4:4" x14ac:dyDescent="0.25">
      <c r="D845" s="35"/>
    </row>
    <row r="846" spans="4:4" x14ac:dyDescent="0.25">
      <c r="D846" s="35"/>
    </row>
    <row r="847" spans="4:4" x14ac:dyDescent="0.25">
      <c r="D847" s="35"/>
    </row>
    <row r="848" spans="4:4" x14ac:dyDescent="0.25">
      <c r="D848" s="35"/>
    </row>
    <row r="849" spans="4:4" x14ac:dyDescent="0.25">
      <c r="D849" s="35"/>
    </row>
    <row r="850" spans="4:4" x14ac:dyDescent="0.25">
      <c r="D850" s="35"/>
    </row>
    <row r="851" spans="4:4" x14ac:dyDescent="0.25">
      <c r="D851" s="35"/>
    </row>
    <row r="852" spans="4:4" x14ac:dyDescent="0.25">
      <c r="D852" s="35"/>
    </row>
    <row r="853" spans="4:4" x14ac:dyDescent="0.25">
      <c r="D853" s="35"/>
    </row>
    <row r="854" spans="4:4" x14ac:dyDescent="0.25">
      <c r="D854" s="35"/>
    </row>
    <row r="855" spans="4:4" x14ac:dyDescent="0.25">
      <c r="D855" s="35"/>
    </row>
    <row r="856" spans="4:4" x14ac:dyDescent="0.25">
      <c r="D856" s="35"/>
    </row>
    <row r="857" spans="4:4" x14ac:dyDescent="0.25">
      <c r="D857" s="35"/>
    </row>
    <row r="858" spans="4:4" x14ac:dyDescent="0.25">
      <c r="D858" s="35"/>
    </row>
    <row r="859" spans="4:4" x14ac:dyDescent="0.25">
      <c r="D859" s="35"/>
    </row>
    <row r="860" spans="4:4" x14ac:dyDescent="0.25">
      <c r="D860" s="35"/>
    </row>
    <row r="861" spans="4:4" x14ac:dyDescent="0.25">
      <c r="D861" s="35"/>
    </row>
    <row r="862" spans="4:4" x14ac:dyDescent="0.25">
      <c r="D862" s="35"/>
    </row>
    <row r="863" spans="4:4" x14ac:dyDescent="0.25">
      <c r="D863" s="35"/>
    </row>
    <row r="864" spans="4:4" x14ac:dyDescent="0.25">
      <c r="D864" s="35"/>
    </row>
    <row r="865" spans="4:4" x14ac:dyDescent="0.25">
      <c r="D865" s="35"/>
    </row>
    <row r="866" spans="4:4" x14ac:dyDescent="0.25">
      <c r="D866" s="35"/>
    </row>
    <row r="867" spans="4:4" x14ac:dyDescent="0.25">
      <c r="D867" s="35"/>
    </row>
    <row r="868" spans="4:4" x14ac:dyDescent="0.25">
      <c r="D868" s="35"/>
    </row>
    <row r="869" spans="4:4" x14ac:dyDescent="0.25">
      <c r="D869" s="35"/>
    </row>
    <row r="870" spans="4:4" x14ac:dyDescent="0.25">
      <c r="D870" s="35"/>
    </row>
    <row r="871" spans="4:4" x14ac:dyDescent="0.25">
      <c r="D871" s="35"/>
    </row>
    <row r="872" spans="4:4" x14ac:dyDescent="0.25">
      <c r="D872" s="35"/>
    </row>
    <row r="873" spans="4:4" x14ac:dyDescent="0.25">
      <c r="D873" s="35"/>
    </row>
    <row r="874" spans="4:4" x14ac:dyDescent="0.25">
      <c r="D874" s="35"/>
    </row>
    <row r="875" spans="4:4" x14ac:dyDescent="0.25">
      <c r="D875" s="35"/>
    </row>
    <row r="876" spans="4:4" x14ac:dyDescent="0.25">
      <c r="D876" s="35"/>
    </row>
    <row r="877" spans="4:4" x14ac:dyDescent="0.25">
      <c r="D877" s="35"/>
    </row>
    <row r="878" spans="4:4" x14ac:dyDescent="0.25">
      <c r="D878" s="35"/>
    </row>
    <row r="879" spans="4:4" x14ac:dyDescent="0.25">
      <c r="D879" s="35"/>
    </row>
    <row r="880" spans="4:4" x14ac:dyDescent="0.25">
      <c r="D880" s="35"/>
    </row>
    <row r="881" spans="4:4" x14ac:dyDescent="0.25">
      <c r="D881" s="35"/>
    </row>
    <row r="882" spans="4:4" x14ac:dyDescent="0.25">
      <c r="D882" s="35"/>
    </row>
    <row r="883" spans="4:4" x14ac:dyDescent="0.25">
      <c r="D883" s="35"/>
    </row>
    <row r="884" spans="4:4" x14ac:dyDescent="0.25">
      <c r="D884" s="35"/>
    </row>
    <row r="885" spans="4:4" x14ac:dyDescent="0.25">
      <c r="D885" s="35"/>
    </row>
    <row r="886" spans="4:4" x14ac:dyDescent="0.25">
      <c r="D886" s="35"/>
    </row>
    <row r="887" spans="4:4" x14ac:dyDescent="0.25">
      <c r="D887" s="35"/>
    </row>
    <row r="888" spans="4:4" x14ac:dyDescent="0.25">
      <c r="D888" s="35"/>
    </row>
    <row r="889" spans="4:4" x14ac:dyDescent="0.25">
      <c r="D889" s="35"/>
    </row>
    <row r="890" spans="4:4" x14ac:dyDescent="0.25">
      <c r="D890" s="35"/>
    </row>
    <row r="891" spans="4:4" x14ac:dyDescent="0.25">
      <c r="D891" s="35"/>
    </row>
    <row r="892" spans="4:4" x14ac:dyDescent="0.25">
      <c r="D892" s="35"/>
    </row>
    <row r="893" spans="4:4" x14ac:dyDescent="0.25">
      <c r="D893" s="35"/>
    </row>
    <row r="894" spans="4:4" x14ac:dyDescent="0.25">
      <c r="D894" s="35"/>
    </row>
    <row r="895" spans="4:4" x14ac:dyDescent="0.25">
      <c r="D895" s="35"/>
    </row>
    <row r="896" spans="4:4" x14ac:dyDescent="0.25">
      <c r="D896" s="35"/>
    </row>
    <row r="897" spans="4:4" x14ac:dyDescent="0.25">
      <c r="D897" s="35"/>
    </row>
    <row r="898" spans="4:4" x14ac:dyDescent="0.25">
      <c r="D898" s="35"/>
    </row>
    <row r="899" spans="4:4" x14ac:dyDescent="0.25">
      <c r="D899" s="35"/>
    </row>
    <row r="900" spans="4:4" x14ac:dyDescent="0.25">
      <c r="D900" s="35"/>
    </row>
    <row r="901" spans="4:4" x14ac:dyDescent="0.25">
      <c r="D901" s="35"/>
    </row>
    <row r="902" spans="4:4" x14ac:dyDescent="0.25">
      <c r="D902" s="35"/>
    </row>
    <row r="903" spans="4:4" x14ac:dyDescent="0.25">
      <c r="D903" s="35"/>
    </row>
    <row r="904" spans="4:4" x14ac:dyDescent="0.25">
      <c r="D904" s="35"/>
    </row>
    <row r="905" spans="4:4" x14ac:dyDescent="0.25">
      <c r="D905" s="35"/>
    </row>
    <row r="906" spans="4:4" x14ac:dyDescent="0.25">
      <c r="D906" s="35"/>
    </row>
    <row r="907" spans="4:4" x14ac:dyDescent="0.25">
      <c r="D907" s="35"/>
    </row>
    <row r="908" spans="4:4" x14ac:dyDescent="0.25">
      <c r="D908" s="35"/>
    </row>
    <row r="909" spans="4:4" x14ac:dyDescent="0.25">
      <c r="D909" s="35"/>
    </row>
    <row r="910" spans="4:4" x14ac:dyDescent="0.25">
      <c r="D910" s="35"/>
    </row>
    <row r="911" spans="4:4" x14ac:dyDescent="0.25">
      <c r="D911" s="35"/>
    </row>
    <row r="912" spans="4:4" x14ac:dyDescent="0.25">
      <c r="D912" s="35"/>
    </row>
    <row r="913" spans="4:4" x14ac:dyDescent="0.25">
      <c r="D913" s="35"/>
    </row>
    <row r="914" spans="4:4" x14ac:dyDescent="0.25">
      <c r="D914" s="35"/>
    </row>
    <row r="915" spans="4:4" x14ac:dyDescent="0.25">
      <c r="D915" s="35"/>
    </row>
    <row r="916" spans="4:4" x14ac:dyDescent="0.25">
      <c r="D916" s="35"/>
    </row>
    <row r="917" spans="4:4" x14ac:dyDescent="0.25">
      <c r="D917" s="35"/>
    </row>
    <row r="918" spans="4:4" x14ac:dyDescent="0.25">
      <c r="D918" s="35"/>
    </row>
    <row r="919" spans="4:4" x14ac:dyDescent="0.25">
      <c r="D919" s="35"/>
    </row>
    <row r="920" spans="4:4" x14ac:dyDescent="0.25">
      <c r="D920" s="35"/>
    </row>
    <row r="921" spans="4:4" x14ac:dyDescent="0.25">
      <c r="D921" s="35"/>
    </row>
    <row r="922" spans="4:4" x14ac:dyDescent="0.25">
      <c r="D922" s="35"/>
    </row>
    <row r="923" spans="4:4" x14ac:dyDescent="0.25">
      <c r="D923" s="35"/>
    </row>
    <row r="924" spans="4:4" x14ac:dyDescent="0.25">
      <c r="D924" s="35"/>
    </row>
    <row r="925" spans="4:4" x14ac:dyDescent="0.25">
      <c r="D925" s="35"/>
    </row>
    <row r="926" spans="4:4" x14ac:dyDescent="0.25">
      <c r="D926" s="35"/>
    </row>
    <row r="927" spans="4:4" x14ac:dyDescent="0.25">
      <c r="D927" s="35"/>
    </row>
    <row r="928" spans="4:4" x14ac:dyDescent="0.25">
      <c r="D928" s="35"/>
    </row>
    <row r="929" spans="4:4" x14ac:dyDescent="0.25">
      <c r="D929" s="35"/>
    </row>
    <row r="930" spans="4:4" x14ac:dyDescent="0.25">
      <c r="D930" s="35"/>
    </row>
    <row r="931" spans="4:4" x14ac:dyDescent="0.25">
      <c r="D931" s="35"/>
    </row>
    <row r="932" spans="4:4" x14ac:dyDescent="0.25">
      <c r="D932" s="35"/>
    </row>
    <row r="933" spans="4:4" x14ac:dyDescent="0.25">
      <c r="D933" s="35"/>
    </row>
    <row r="934" spans="4:4" x14ac:dyDescent="0.25">
      <c r="D934" s="35"/>
    </row>
    <row r="935" spans="4:4" x14ac:dyDescent="0.25">
      <c r="D935" s="35"/>
    </row>
    <row r="936" spans="4:4" x14ac:dyDescent="0.25">
      <c r="D936" s="35"/>
    </row>
    <row r="937" spans="4:4" x14ac:dyDescent="0.25">
      <c r="D937" s="35"/>
    </row>
    <row r="938" spans="4:4" x14ac:dyDescent="0.25">
      <c r="D938" s="35"/>
    </row>
    <row r="939" spans="4:4" x14ac:dyDescent="0.25">
      <c r="D939" s="35"/>
    </row>
    <row r="940" spans="4:4" x14ac:dyDescent="0.25">
      <c r="D940" s="35"/>
    </row>
    <row r="941" spans="4:4" x14ac:dyDescent="0.25">
      <c r="D941" s="35"/>
    </row>
    <row r="942" spans="4:4" x14ac:dyDescent="0.25">
      <c r="D942" s="35"/>
    </row>
    <row r="943" spans="4:4" x14ac:dyDescent="0.25">
      <c r="D943" s="35"/>
    </row>
    <row r="944" spans="4:4" x14ac:dyDescent="0.25">
      <c r="D944" s="35"/>
    </row>
    <row r="945" spans="4:4" x14ac:dyDescent="0.25">
      <c r="D945" s="35"/>
    </row>
    <row r="946" spans="4:4" x14ac:dyDescent="0.25">
      <c r="D946" s="35"/>
    </row>
    <row r="947" spans="4:4" x14ac:dyDescent="0.25">
      <c r="D947" s="35"/>
    </row>
    <row r="948" spans="4:4" x14ac:dyDescent="0.25">
      <c r="D948" s="35"/>
    </row>
    <row r="949" spans="4:4" x14ac:dyDescent="0.25">
      <c r="D949" s="35"/>
    </row>
    <row r="950" spans="4:4" x14ac:dyDescent="0.25">
      <c r="D950" s="35"/>
    </row>
    <row r="951" spans="4:4" x14ac:dyDescent="0.25">
      <c r="D951" s="35"/>
    </row>
    <row r="952" spans="4:4" x14ac:dyDescent="0.25">
      <c r="D952" s="35"/>
    </row>
    <row r="953" spans="4:4" x14ac:dyDescent="0.25">
      <c r="D953" s="35"/>
    </row>
    <row r="954" spans="4:4" x14ac:dyDescent="0.25">
      <c r="D954" s="35"/>
    </row>
    <row r="955" spans="4:4" x14ac:dyDescent="0.25">
      <c r="D955" s="35"/>
    </row>
    <row r="956" spans="4:4" x14ac:dyDescent="0.25">
      <c r="D956" s="35"/>
    </row>
    <row r="957" spans="4:4" x14ac:dyDescent="0.25">
      <c r="D957" s="35"/>
    </row>
    <row r="958" spans="4:4" x14ac:dyDescent="0.25">
      <c r="D958" s="35"/>
    </row>
    <row r="959" spans="4:4" x14ac:dyDescent="0.25">
      <c r="D959" s="35"/>
    </row>
    <row r="960" spans="4:4" x14ac:dyDescent="0.25">
      <c r="D960" s="35"/>
    </row>
    <row r="961" spans="4:4" x14ac:dyDescent="0.25">
      <c r="D961" s="35"/>
    </row>
    <row r="962" spans="4:4" x14ac:dyDescent="0.25">
      <c r="D962" s="35"/>
    </row>
    <row r="963" spans="4:4" x14ac:dyDescent="0.25">
      <c r="D963" s="35"/>
    </row>
    <row r="964" spans="4:4" x14ac:dyDescent="0.25">
      <c r="D964" s="35"/>
    </row>
    <row r="965" spans="4:4" x14ac:dyDescent="0.25">
      <c r="D965" s="35"/>
    </row>
    <row r="966" spans="4:4" x14ac:dyDescent="0.25">
      <c r="D966" s="35"/>
    </row>
    <row r="967" spans="4:4" x14ac:dyDescent="0.25">
      <c r="D967" s="35"/>
    </row>
    <row r="968" spans="4:4" x14ac:dyDescent="0.25">
      <c r="D968" s="35"/>
    </row>
    <row r="969" spans="4:4" x14ac:dyDescent="0.25">
      <c r="D969" s="35"/>
    </row>
    <row r="970" spans="4:4" x14ac:dyDescent="0.25">
      <c r="D970" s="35"/>
    </row>
    <row r="971" spans="4:4" x14ac:dyDescent="0.25">
      <c r="D971" s="35"/>
    </row>
    <row r="972" spans="4:4" x14ac:dyDescent="0.25">
      <c r="D972" s="35"/>
    </row>
    <row r="973" spans="4:4" x14ac:dyDescent="0.25">
      <c r="D973" s="35"/>
    </row>
    <row r="974" spans="4:4" x14ac:dyDescent="0.25">
      <c r="D974" s="35"/>
    </row>
    <row r="975" spans="4:4" x14ac:dyDescent="0.25">
      <c r="D975" s="35"/>
    </row>
    <row r="976" spans="4:4" x14ac:dyDescent="0.25">
      <c r="D976" s="35"/>
    </row>
    <row r="977" spans="4:4" x14ac:dyDescent="0.25">
      <c r="D977" s="35"/>
    </row>
    <row r="978" spans="4:4" x14ac:dyDescent="0.25">
      <c r="D978" s="35"/>
    </row>
    <row r="979" spans="4:4" x14ac:dyDescent="0.25">
      <c r="D979" s="35"/>
    </row>
    <row r="980" spans="4:4" x14ac:dyDescent="0.25">
      <c r="D980" s="35"/>
    </row>
    <row r="981" spans="4:4" x14ac:dyDescent="0.25">
      <c r="D981" s="35"/>
    </row>
    <row r="982" spans="4:4" x14ac:dyDescent="0.25">
      <c r="D982" s="35"/>
    </row>
    <row r="983" spans="4:4" x14ac:dyDescent="0.25">
      <c r="D983" s="35"/>
    </row>
    <row r="984" spans="4:4" x14ac:dyDescent="0.25">
      <c r="D984" s="35"/>
    </row>
    <row r="985" spans="4:4" x14ac:dyDescent="0.25">
      <c r="D985" s="35"/>
    </row>
    <row r="986" spans="4:4" x14ac:dyDescent="0.25">
      <c r="D986" s="35"/>
    </row>
    <row r="987" spans="4:4" x14ac:dyDescent="0.25">
      <c r="D987" s="35"/>
    </row>
    <row r="988" spans="4:4" x14ac:dyDescent="0.25">
      <c r="D988" s="35"/>
    </row>
    <row r="989" spans="4:4" x14ac:dyDescent="0.25">
      <c r="D989" s="35"/>
    </row>
    <row r="990" spans="4:4" x14ac:dyDescent="0.25">
      <c r="D990" s="35"/>
    </row>
    <row r="991" spans="4:4" x14ac:dyDescent="0.25">
      <c r="D991" s="35"/>
    </row>
    <row r="992" spans="4:4" x14ac:dyDescent="0.25">
      <c r="D992" s="35"/>
    </row>
    <row r="993" spans="4:4" x14ac:dyDescent="0.25">
      <c r="D993" s="35"/>
    </row>
    <row r="994" spans="4:4" x14ac:dyDescent="0.25">
      <c r="D994" s="35"/>
    </row>
    <row r="995" spans="4:4" x14ac:dyDescent="0.25">
      <c r="D995" s="35"/>
    </row>
    <row r="996" spans="4:4" x14ac:dyDescent="0.25">
      <c r="D996" s="35"/>
    </row>
    <row r="997" spans="4:4" x14ac:dyDescent="0.25">
      <c r="D997" s="35"/>
    </row>
    <row r="998" spans="4:4" x14ac:dyDescent="0.25">
      <c r="D998" s="35"/>
    </row>
    <row r="999" spans="4:4" x14ac:dyDescent="0.25">
      <c r="D999" s="35"/>
    </row>
    <row r="1000" spans="4:4" x14ac:dyDescent="0.25">
      <c r="D1000" s="35"/>
    </row>
    <row r="1001" spans="4:4" x14ac:dyDescent="0.25">
      <c r="D1001" s="35"/>
    </row>
    <row r="1002" spans="4:4" x14ac:dyDescent="0.25">
      <c r="D1002" s="35"/>
    </row>
    <row r="1003" spans="4:4" x14ac:dyDescent="0.25">
      <c r="D1003" s="35"/>
    </row>
    <row r="1004" spans="4:4" x14ac:dyDescent="0.25">
      <c r="D1004" s="35"/>
    </row>
    <row r="1005" spans="4:4" x14ac:dyDescent="0.25">
      <c r="D1005" s="35"/>
    </row>
    <row r="1006" spans="4:4" x14ac:dyDescent="0.25">
      <c r="D1006" s="35"/>
    </row>
    <row r="1007" spans="4:4" x14ac:dyDescent="0.25">
      <c r="D1007" s="35"/>
    </row>
    <row r="1008" spans="4:4" x14ac:dyDescent="0.25">
      <c r="D1008" s="35"/>
    </row>
    <row r="1009" spans="4:4" x14ac:dyDescent="0.25">
      <c r="D1009" s="35"/>
    </row>
    <row r="1010" spans="4:4" x14ac:dyDescent="0.25">
      <c r="D1010" s="35"/>
    </row>
    <row r="1011" spans="4:4" x14ac:dyDescent="0.25">
      <c r="D1011" s="35"/>
    </row>
    <row r="1012" spans="4:4" x14ac:dyDescent="0.25">
      <c r="D1012" s="35"/>
    </row>
    <row r="1013" spans="4:4" x14ac:dyDescent="0.25">
      <c r="D1013" s="35"/>
    </row>
    <row r="1014" spans="4:4" x14ac:dyDescent="0.25">
      <c r="D1014" s="35"/>
    </row>
    <row r="1015" spans="4:4" x14ac:dyDescent="0.25">
      <c r="D1015" s="35"/>
    </row>
    <row r="1016" spans="4:4" x14ac:dyDescent="0.25">
      <c r="D1016" s="35"/>
    </row>
    <row r="1017" spans="4:4" x14ac:dyDescent="0.25">
      <c r="D1017" s="35"/>
    </row>
    <row r="1018" spans="4:4" x14ac:dyDescent="0.25">
      <c r="D1018" s="35"/>
    </row>
    <row r="1019" spans="4:4" x14ac:dyDescent="0.25">
      <c r="D1019" s="35"/>
    </row>
    <row r="1020" spans="4:4" x14ac:dyDescent="0.25">
      <c r="D1020" s="35"/>
    </row>
    <row r="1021" spans="4:4" x14ac:dyDescent="0.25">
      <c r="D1021" s="35"/>
    </row>
    <row r="1022" spans="4:4" x14ac:dyDescent="0.25">
      <c r="D1022" s="35"/>
    </row>
    <row r="1023" spans="4:4" x14ac:dyDescent="0.25">
      <c r="D1023" s="35"/>
    </row>
    <row r="1024" spans="4:4" x14ac:dyDescent="0.25">
      <c r="D1024" s="35"/>
    </row>
    <row r="1025" spans="4:4" x14ac:dyDescent="0.25">
      <c r="D1025" s="35"/>
    </row>
    <row r="1026" spans="4:4" x14ac:dyDescent="0.25">
      <c r="D1026" s="35"/>
    </row>
    <row r="1027" spans="4:4" x14ac:dyDescent="0.25">
      <c r="D1027" s="35"/>
    </row>
    <row r="1028" spans="4:4" x14ac:dyDescent="0.25">
      <c r="D1028" s="35"/>
    </row>
    <row r="1029" spans="4:4" x14ac:dyDescent="0.25">
      <c r="D1029" s="35"/>
    </row>
    <row r="1030" spans="4:4" x14ac:dyDescent="0.25">
      <c r="D1030" s="35"/>
    </row>
    <row r="1031" spans="4:4" x14ac:dyDescent="0.25">
      <c r="D1031" s="35"/>
    </row>
    <row r="1032" spans="4:4" x14ac:dyDescent="0.25">
      <c r="D1032" s="35"/>
    </row>
    <row r="1033" spans="4:4" x14ac:dyDescent="0.25">
      <c r="D1033" s="35"/>
    </row>
    <row r="1034" spans="4:4" x14ac:dyDescent="0.25">
      <c r="D1034" s="35"/>
    </row>
    <row r="1035" spans="4:4" x14ac:dyDescent="0.25">
      <c r="D1035" s="35"/>
    </row>
    <row r="1036" spans="4:4" x14ac:dyDescent="0.25">
      <c r="D1036" s="35"/>
    </row>
    <row r="1037" spans="4:4" x14ac:dyDescent="0.25">
      <c r="D1037" s="35"/>
    </row>
    <row r="1038" spans="4:4" x14ac:dyDescent="0.25">
      <c r="D1038" s="35"/>
    </row>
    <row r="1039" spans="4:4" x14ac:dyDescent="0.25">
      <c r="D1039" s="35"/>
    </row>
    <row r="1040" spans="4:4" x14ac:dyDescent="0.25">
      <c r="D1040" s="35"/>
    </row>
    <row r="1041" spans="4:4" x14ac:dyDescent="0.25">
      <c r="D1041" s="35"/>
    </row>
    <row r="1042" spans="4:4" x14ac:dyDescent="0.25">
      <c r="D1042" s="35"/>
    </row>
    <row r="1043" spans="4:4" x14ac:dyDescent="0.25">
      <c r="D1043" s="35"/>
    </row>
    <row r="1044" spans="4:4" x14ac:dyDescent="0.25">
      <c r="D1044" s="35"/>
    </row>
    <row r="1045" spans="4:4" x14ac:dyDescent="0.25">
      <c r="D1045" s="35"/>
    </row>
    <row r="1046" spans="4:4" x14ac:dyDescent="0.25">
      <c r="D1046" s="35"/>
    </row>
    <row r="1047" spans="4:4" x14ac:dyDescent="0.25">
      <c r="D1047" s="35"/>
    </row>
    <row r="1048" spans="4:4" x14ac:dyDescent="0.25">
      <c r="D1048" s="35"/>
    </row>
    <row r="1049" spans="4:4" x14ac:dyDescent="0.25">
      <c r="D1049" s="35"/>
    </row>
    <row r="1050" spans="4:4" x14ac:dyDescent="0.25">
      <c r="D1050" s="35"/>
    </row>
    <row r="1051" spans="4:4" x14ac:dyDescent="0.25">
      <c r="D1051" s="35"/>
    </row>
    <row r="1052" spans="4:4" x14ac:dyDescent="0.25">
      <c r="D1052" s="35"/>
    </row>
    <row r="1053" spans="4:4" x14ac:dyDescent="0.25">
      <c r="D1053" s="35"/>
    </row>
    <row r="1054" spans="4:4" x14ac:dyDescent="0.25">
      <c r="D1054" s="35"/>
    </row>
    <row r="1055" spans="4:4" x14ac:dyDescent="0.25">
      <c r="D1055" s="35"/>
    </row>
    <row r="1056" spans="4:4" x14ac:dyDescent="0.25">
      <c r="D1056" s="35"/>
    </row>
    <row r="1057" spans="4:4" x14ac:dyDescent="0.25">
      <c r="D1057" s="35"/>
    </row>
    <row r="1058" spans="4:4" x14ac:dyDescent="0.25">
      <c r="D1058" s="35"/>
    </row>
    <row r="1059" spans="4:4" x14ac:dyDescent="0.25">
      <c r="D1059" s="35"/>
    </row>
    <row r="1060" spans="4:4" x14ac:dyDescent="0.25">
      <c r="D1060" s="35"/>
    </row>
    <row r="1061" spans="4:4" x14ac:dyDescent="0.25">
      <c r="D1061" s="35"/>
    </row>
    <row r="1062" spans="4:4" x14ac:dyDescent="0.25">
      <c r="D1062" s="35"/>
    </row>
    <row r="1063" spans="4:4" x14ac:dyDescent="0.25">
      <c r="D1063" s="35"/>
    </row>
    <row r="1064" spans="4:4" x14ac:dyDescent="0.25">
      <c r="D1064" s="35"/>
    </row>
    <row r="1065" spans="4:4" x14ac:dyDescent="0.25">
      <c r="D1065" s="35"/>
    </row>
    <row r="1066" spans="4:4" x14ac:dyDescent="0.25">
      <c r="D1066" s="35"/>
    </row>
    <row r="1067" spans="4:4" x14ac:dyDescent="0.25">
      <c r="D1067" s="35"/>
    </row>
    <row r="1068" spans="4:4" x14ac:dyDescent="0.25">
      <c r="D1068" s="35"/>
    </row>
    <row r="1069" spans="4:4" x14ac:dyDescent="0.25">
      <c r="D1069" s="35"/>
    </row>
    <row r="1070" spans="4:4" x14ac:dyDescent="0.25">
      <c r="D1070" s="35"/>
    </row>
    <row r="1071" spans="4:4" x14ac:dyDescent="0.25">
      <c r="D1071" s="35"/>
    </row>
    <row r="1072" spans="4:4" x14ac:dyDescent="0.25">
      <c r="D1072" s="35"/>
    </row>
    <row r="1073" spans="4:4" x14ac:dyDescent="0.25">
      <c r="D1073" s="35"/>
    </row>
    <row r="1074" spans="4:4" x14ac:dyDescent="0.25">
      <c r="D1074" s="35"/>
    </row>
    <row r="1075" spans="4:4" x14ac:dyDescent="0.25">
      <c r="D1075" s="35"/>
    </row>
    <row r="1076" spans="4:4" x14ac:dyDescent="0.25">
      <c r="D1076" s="35"/>
    </row>
    <row r="1077" spans="4:4" x14ac:dyDescent="0.25">
      <c r="D1077" s="35"/>
    </row>
    <row r="1078" spans="4:4" x14ac:dyDescent="0.25">
      <c r="D1078" s="35"/>
    </row>
    <row r="1079" spans="4:4" x14ac:dyDescent="0.25">
      <c r="D1079" s="35"/>
    </row>
    <row r="1080" spans="4:4" x14ac:dyDescent="0.25">
      <c r="D1080" s="35"/>
    </row>
    <row r="1081" spans="4:4" x14ac:dyDescent="0.25">
      <c r="D1081" s="35"/>
    </row>
    <row r="1082" spans="4:4" x14ac:dyDescent="0.25">
      <c r="D1082" s="35"/>
    </row>
    <row r="1083" spans="4:4" x14ac:dyDescent="0.25">
      <c r="D1083" s="35"/>
    </row>
    <row r="1084" spans="4:4" x14ac:dyDescent="0.25">
      <c r="D1084" s="35"/>
    </row>
    <row r="1085" spans="4:4" x14ac:dyDescent="0.25">
      <c r="D1085" s="35"/>
    </row>
    <row r="1086" spans="4:4" x14ac:dyDescent="0.25">
      <c r="D1086" s="35"/>
    </row>
    <row r="1087" spans="4:4" x14ac:dyDescent="0.25">
      <c r="D1087" s="35"/>
    </row>
    <row r="1088" spans="4:4" x14ac:dyDescent="0.25">
      <c r="D1088" s="35"/>
    </row>
    <row r="1089" spans="4:4" x14ac:dyDescent="0.25">
      <c r="D1089" s="35"/>
    </row>
    <row r="1090" spans="4:4" x14ac:dyDescent="0.25">
      <c r="D1090" s="35"/>
    </row>
    <row r="1091" spans="4:4" x14ac:dyDescent="0.25">
      <c r="D1091" s="35"/>
    </row>
    <row r="1092" spans="4:4" x14ac:dyDescent="0.25">
      <c r="D1092" s="35"/>
    </row>
    <row r="1093" spans="4:4" x14ac:dyDescent="0.25">
      <c r="D1093" s="35"/>
    </row>
    <row r="1094" spans="4:4" x14ac:dyDescent="0.25">
      <c r="D1094" s="35"/>
    </row>
    <row r="1095" spans="4:4" x14ac:dyDescent="0.25">
      <c r="D1095" s="35"/>
    </row>
    <row r="1096" spans="4:4" x14ac:dyDescent="0.25">
      <c r="D1096" s="35"/>
    </row>
    <row r="1097" spans="4:4" x14ac:dyDescent="0.25">
      <c r="D1097" s="35"/>
    </row>
    <row r="1098" spans="4:4" x14ac:dyDescent="0.25">
      <c r="D1098" s="35"/>
    </row>
    <row r="1099" spans="4:4" x14ac:dyDescent="0.25">
      <c r="D1099" s="35"/>
    </row>
    <row r="1100" spans="4:4" x14ac:dyDescent="0.25">
      <c r="D1100" s="35"/>
    </row>
    <row r="1101" spans="4:4" x14ac:dyDescent="0.25">
      <c r="D1101" s="35"/>
    </row>
    <row r="1102" spans="4:4" x14ac:dyDescent="0.25">
      <c r="D1102" s="35"/>
    </row>
    <row r="1103" spans="4:4" x14ac:dyDescent="0.25">
      <c r="D1103" s="35"/>
    </row>
    <row r="1104" spans="4:4" x14ac:dyDescent="0.25">
      <c r="D1104" s="35"/>
    </row>
    <row r="1105" spans="4:4" x14ac:dyDescent="0.25">
      <c r="D1105" s="35"/>
    </row>
    <row r="1106" spans="4:4" x14ac:dyDescent="0.25">
      <c r="D1106" s="35"/>
    </row>
    <row r="1107" spans="4:4" x14ac:dyDescent="0.25">
      <c r="D1107" s="35"/>
    </row>
    <row r="1108" spans="4:4" x14ac:dyDescent="0.25">
      <c r="D1108" s="35"/>
    </row>
    <row r="1109" spans="4:4" x14ac:dyDescent="0.25">
      <c r="D1109" s="35"/>
    </row>
    <row r="1110" spans="4:4" x14ac:dyDescent="0.25">
      <c r="D1110" s="35"/>
    </row>
    <row r="1111" spans="4:4" x14ac:dyDescent="0.25">
      <c r="D1111" s="35"/>
    </row>
    <row r="1112" spans="4:4" x14ac:dyDescent="0.25">
      <c r="D1112" s="35"/>
    </row>
    <row r="1113" spans="4:4" x14ac:dyDescent="0.25">
      <c r="D1113" s="35"/>
    </row>
    <row r="1114" spans="4:4" x14ac:dyDescent="0.25">
      <c r="D1114" s="35"/>
    </row>
    <row r="1115" spans="4:4" x14ac:dyDescent="0.25">
      <c r="D1115" s="35"/>
    </row>
    <row r="1116" spans="4:4" x14ac:dyDescent="0.25">
      <c r="D1116" s="35"/>
    </row>
    <row r="1117" spans="4:4" x14ac:dyDescent="0.25">
      <c r="D1117" s="35"/>
    </row>
    <row r="1118" spans="4:4" x14ac:dyDescent="0.25">
      <c r="D1118" s="35"/>
    </row>
    <row r="1119" spans="4:4" x14ac:dyDescent="0.25">
      <c r="D1119" s="35"/>
    </row>
    <row r="1120" spans="4:4" x14ac:dyDescent="0.25">
      <c r="D1120" s="35"/>
    </row>
    <row r="1121" spans="4:4" x14ac:dyDescent="0.25">
      <c r="D1121" s="35"/>
    </row>
    <row r="1122" spans="4:4" x14ac:dyDescent="0.25">
      <c r="D1122" s="35"/>
    </row>
    <row r="1123" spans="4:4" x14ac:dyDescent="0.25">
      <c r="D1123" s="35"/>
    </row>
    <row r="1124" spans="4:4" x14ac:dyDescent="0.25">
      <c r="D1124" s="35"/>
    </row>
    <row r="1125" spans="4:4" x14ac:dyDescent="0.25">
      <c r="D1125" s="35"/>
    </row>
    <row r="1126" spans="4:4" x14ac:dyDescent="0.25">
      <c r="D1126" s="35"/>
    </row>
    <row r="1127" spans="4:4" x14ac:dyDescent="0.25">
      <c r="D1127" s="35"/>
    </row>
    <row r="1128" spans="4:4" x14ac:dyDescent="0.25">
      <c r="D1128" s="35"/>
    </row>
    <row r="1129" spans="4:4" x14ac:dyDescent="0.25">
      <c r="D1129" s="35"/>
    </row>
    <row r="1130" spans="4:4" x14ac:dyDescent="0.25">
      <c r="D1130" s="35"/>
    </row>
    <row r="1131" spans="4:4" x14ac:dyDescent="0.25">
      <c r="D1131" s="35"/>
    </row>
    <row r="1132" spans="4:4" x14ac:dyDescent="0.25">
      <c r="D1132" s="35"/>
    </row>
    <row r="1133" spans="4:4" x14ac:dyDescent="0.25">
      <c r="D1133" s="35"/>
    </row>
    <row r="1134" spans="4:4" x14ac:dyDescent="0.25">
      <c r="D1134" s="35"/>
    </row>
    <row r="1135" spans="4:4" x14ac:dyDescent="0.25">
      <c r="D1135" s="35"/>
    </row>
    <row r="1136" spans="4:4" x14ac:dyDescent="0.25">
      <c r="D1136" s="35"/>
    </row>
    <row r="1137" spans="4:4" x14ac:dyDescent="0.25">
      <c r="D1137" s="35"/>
    </row>
    <row r="1138" spans="4:4" x14ac:dyDescent="0.25">
      <c r="D1138" s="35"/>
    </row>
    <row r="1139" spans="4:4" x14ac:dyDescent="0.25">
      <c r="D1139" s="35"/>
    </row>
    <row r="1140" spans="4:4" x14ac:dyDescent="0.25">
      <c r="D1140" s="35"/>
    </row>
    <row r="1141" spans="4:4" x14ac:dyDescent="0.25">
      <c r="D1141" s="35"/>
    </row>
    <row r="1142" spans="4:4" x14ac:dyDescent="0.25">
      <c r="D1142" s="35"/>
    </row>
    <row r="1143" spans="4:4" x14ac:dyDescent="0.25">
      <c r="D1143" s="35"/>
    </row>
    <row r="1144" spans="4:4" x14ac:dyDescent="0.25">
      <c r="D1144" s="35"/>
    </row>
    <row r="1145" spans="4:4" x14ac:dyDescent="0.25">
      <c r="D1145" s="35"/>
    </row>
    <row r="1146" spans="4:4" x14ac:dyDescent="0.25">
      <c r="D1146" s="35"/>
    </row>
    <row r="1147" spans="4:4" x14ac:dyDescent="0.25">
      <c r="D1147" s="35"/>
    </row>
    <row r="1148" spans="4:4" x14ac:dyDescent="0.25">
      <c r="D1148" s="35"/>
    </row>
    <row r="1149" spans="4:4" x14ac:dyDescent="0.25">
      <c r="D1149" s="35"/>
    </row>
    <row r="1150" spans="4:4" x14ac:dyDescent="0.25">
      <c r="D1150" s="35"/>
    </row>
    <row r="1151" spans="4:4" x14ac:dyDescent="0.25">
      <c r="D1151" s="35"/>
    </row>
    <row r="1152" spans="4:4" x14ac:dyDescent="0.25">
      <c r="D1152" s="35"/>
    </row>
    <row r="1153" spans="4:4" x14ac:dyDescent="0.25">
      <c r="D1153" s="35"/>
    </row>
    <row r="1154" spans="4:4" x14ac:dyDescent="0.25">
      <c r="D1154" s="35"/>
    </row>
    <row r="1155" spans="4:4" x14ac:dyDescent="0.25">
      <c r="D1155" s="35"/>
    </row>
    <row r="1156" spans="4:4" x14ac:dyDescent="0.25">
      <c r="D1156" s="35"/>
    </row>
    <row r="1157" spans="4:4" x14ac:dyDescent="0.25">
      <c r="D1157" s="35"/>
    </row>
    <row r="1158" spans="4:4" x14ac:dyDescent="0.25">
      <c r="D1158" s="35"/>
    </row>
    <row r="1159" spans="4:4" x14ac:dyDescent="0.25">
      <c r="D1159" s="35"/>
    </row>
    <row r="1160" spans="4:4" x14ac:dyDescent="0.25">
      <c r="D1160" s="35"/>
    </row>
    <row r="1161" spans="4:4" x14ac:dyDescent="0.25">
      <c r="D1161" s="35"/>
    </row>
    <row r="1162" spans="4:4" x14ac:dyDescent="0.25">
      <c r="D1162" s="35"/>
    </row>
    <row r="1163" spans="4:4" x14ac:dyDescent="0.25">
      <c r="D1163" s="35"/>
    </row>
    <row r="1164" spans="4:4" x14ac:dyDescent="0.25">
      <c r="D1164" s="35"/>
    </row>
    <row r="1165" spans="4:4" x14ac:dyDescent="0.25">
      <c r="D1165" s="35"/>
    </row>
    <row r="1166" spans="4:4" x14ac:dyDescent="0.25">
      <c r="D1166" s="35"/>
    </row>
    <row r="1167" spans="4:4" x14ac:dyDescent="0.25">
      <c r="D1167" s="35"/>
    </row>
    <row r="1168" spans="4:4" x14ac:dyDescent="0.25">
      <c r="D1168" s="35"/>
    </row>
    <row r="1169" spans="4:4" x14ac:dyDescent="0.25">
      <c r="D1169" s="35"/>
    </row>
    <row r="1170" spans="4:4" x14ac:dyDescent="0.25">
      <c r="D1170" s="35"/>
    </row>
    <row r="1171" spans="4:4" x14ac:dyDescent="0.25">
      <c r="D1171" s="35"/>
    </row>
    <row r="1172" spans="4:4" x14ac:dyDescent="0.25">
      <c r="D1172" s="35"/>
    </row>
    <row r="1173" spans="4:4" x14ac:dyDescent="0.25">
      <c r="D1173" s="35"/>
    </row>
    <row r="1174" spans="4:4" x14ac:dyDescent="0.25">
      <c r="D1174" s="35"/>
    </row>
    <row r="1175" spans="4:4" x14ac:dyDescent="0.25">
      <c r="D1175" s="35"/>
    </row>
    <row r="1176" spans="4:4" x14ac:dyDescent="0.25">
      <c r="D1176" s="35"/>
    </row>
    <row r="1177" spans="4:4" x14ac:dyDescent="0.25">
      <c r="D1177" s="35"/>
    </row>
    <row r="1178" spans="4:4" x14ac:dyDescent="0.25">
      <c r="D1178" s="35"/>
    </row>
    <row r="1179" spans="4:4" x14ac:dyDescent="0.25">
      <c r="D1179" s="35"/>
    </row>
    <row r="1180" spans="4:4" x14ac:dyDescent="0.25">
      <c r="D1180" s="35"/>
    </row>
    <row r="1181" spans="4:4" x14ac:dyDescent="0.25">
      <c r="D1181" s="35"/>
    </row>
    <row r="1182" spans="4:4" x14ac:dyDescent="0.25">
      <c r="D1182" s="35"/>
    </row>
    <row r="1183" spans="4:4" x14ac:dyDescent="0.25">
      <c r="D1183" s="35"/>
    </row>
    <row r="1184" spans="4:4" x14ac:dyDescent="0.25">
      <c r="D1184" s="35"/>
    </row>
    <row r="1185" spans="4:4" x14ac:dyDescent="0.25">
      <c r="D1185" s="35"/>
    </row>
    <row r="1186" spans="4:4" x14ac:dyDescent="0.25">
      <c r="D1186" s="35"/>
    </row>
    <row r="1187" spans="4:4" x14ac:dyDescent="0.25">
      <c r="D1187" s="35"/>
    </row>
    <row r="1188" spans="4:4" x14ac:dyDescent="0.25">
      <c r="D1188" s="35"/>
    </row>
    <row r="1189" spans="4:4" x14ac:dyDescent="0.25">
      <c r="D1189" s="35"/>
    </row>
    <row r="1190" spans="4:4" x14ac:dyDescent="0.25">
      <c r="D1190" s="35"/>
    </row>
    <row r="1191" spans="4:4" x14ac:dyDescent="0.25">
      <c r="D1191" s="35"/>
    </row>
    <row r="1192" spans="4:4" x14ac:dyDescent="0.25">
      <c r="D1192" s="35"/>
    </row>
    <row r="1193" spans="4:4" x14ac:dyDescent="0.25">
      <c r="D1193" s="35"/>
    </row>
    <row r="1194" spans="4:4" x14ac:dyDescent="0.25">
      <c r="D1194" s="35"/>
    </row>
    <row r="1195" spans="4:4" x14ac:dyDescent="0.25">
      <c r="D1195" s="35"/>
    </row>
    <row r="1196" spans="4:4" x14ac:dyDescent="0.25">
      <c r="D1196" s="35"/>
    </row>
    <row r="1197" spans="4:4" x14ac:dyDescent="0.25">
      <c r="D1197" s="35"/>
    </row>
    <row r="1198" spans="4:4" x14ac:dyDescent="0.25">
      <c r="D1198" s="35"/>
    </row>
    <row r="1199" spans="4:4" x14ac:dyDescent="0.25">
      <c r="D1199" s="35"/>
    </row>
    <row r="1200" spans="4:4" x14ac:dyDescent="0.25">
      <c r="D1200" s="35"/>
    </row>
    <row r="1201" spans="4:4" x14ac:dyDescent="0.25">
      <c r="D1201" s="35"/>
    </row>
    <row r="1202" spans="4:4" x14ac:dyDescent="0.25">
      <c r="D1202" s="35"/>
    </row>
    <row r="1203" spans="4:4" x14ac:dyDescent="0.25">
      <c r="D1203" s="35"/>
    </row>
    <row r="1204" spans="4:4" x14ac:dyDescent="0.25">
      <c r="D1204" s="35"/>
    </row>
    <row r="1205" spans="4:4" x14ac:dyDescent="0.25">
      <c r="D1205" s="35"/>
    </row>
    <row r="1206" spans="4:4" x14ac:dyDescent="0.25">
      <c r="D1206" s="35"/>
    </row>
    <row r="1207" spans="4:4" x14ac:dyDescent="0.25">
      <c r="D1207" s="35"/>
    </row>
    <row r="1208" spans="4:4" x14ac:dyDescent="0.25">
      <c r="D1208" s="35"/>
    </row>
    <row r="1209" spans="4:4" x14ac:dyDescent="0.25">
      <c r="D1209" s="35"/>
    </row>
    <row r="1210" spans="4:4" x14ac:dyDescent="0.25">
      <c r="D1210" s="35"/>
    </row>
    <row r="1211" spans="4:4" x14ac:dyDescent="0.25">
      <c r="D1211" s="35"/>
    </row>
    <row r="1212" spans="4:4" x14ac:dyDescent="0.25">
      <c r="D1212" s="35"/>
    </row>
    <row r="1213" spans="4:4" x14ac:dyDescent="0.25">
      <c r="D1213" s="35"/>
    </row>
    <row r="1214" spans="4:4" x14ac:dyDescent="0.25">
      <c r="D1214" s="35"/>
    </row>
    <row r="1215" spans="4:4" x14ac:dyDescent="0.25">
      <c r="D1215" s="35"/>
    </row>
    <row r="1216" spans="4:4" x14ac:dyDescent="0.25">
      <c r="D1216" s="35"/>
    </row>
    <row r="1217" spans="4:4" x14ac:dyDescent="0.25">
      <c r="D1217" s="35"/>
    </row>
    <row r="1218" spans="4:4" x14ac:dyDescent="0.25">
      <c r="D1218" s="35"/>
    </row>
    <row r="1219" spans="4:4" x14ac:dyDescent="0.25">
      <c r="D1219" s="35"/>
    </row>
    <row r="1220" spans="4:4" x14ac:dyDescent="0.25">
      <c r="D1220" s="35"/>
    </row>
    <row r="1221" spans="4:4" x14ac:dyDescent="0.25">
      <c r="D1221" s="35"/>
    </row>
    <row r="1222" spans="4:4" x14ac:dyDescent="0.25">
      <c r="D1222" s="35"/>
    </row>
    <row r="1223" spans="4:4" x14ac:dyDescent="0.25">
      <c r="D1223" s="35"/>
    </row>
    <row r="1224" spans="4:4" x14ac:dyDescent="0.25">
      <c r="D1224" s="35"/>
    </row>
    <row r="1225" spans="4:4" x14ac:dyDescent="0.25">
      <c r="D1225" s="35"/>
    </row>
    <row r="1226" spans="4:4" x14ac:dyDescent="0.25">
      <c r="D1226" s="35"/>
    </row>
    <row r="1227" spans="4:4" x14ac:dyDescent="0.25">
      <c r="D1227" s="35"/>
    </row>
    <row r="1228" spans="4:4" x14ac:dyDescent="0.25">
      <c r="D1228" s="35"/>
    </row>
    <row r="1229" spans="4:4" x14ac:dyDescent="0.25">
      <c r="D1229" s="35"/>
    </row>
    <row r="1230" spans="4:4" x14ac:dyDescent="0.25">
      <c r="D1230" s="35"/>
    </row>
    <row r="1231" spans="4:4" x14ac:dyDescent="0.25">
      <c r="D1231" s="35"/>
    </row>
    <row r="1232" spans="4:4" x14ac:dyDescent="0.25">
      <c r="D1232" s="35"/>
    </row>
    <row r="1233" spans="4:4" x14ac:dyDescent="0.25">
      <c r="D1233" s="35"/>
    </row>
    <row r="1234" spans="4:4" x14ac:dyDescent="0.25">
      <c r="D1234" s="35"/>
    </row>
    <row r="1235" spans="4:4" x14ac:dyDescent="0.25">
      <c r="D1235" s="35"/>
    </row>
    <row r="1236" spans="4:4" x14ac:dyDescent="0.25">
      <c r="D1236" s="35"/>
    </row>
    <row r="1237" spans="4:4" x14ac:dyDescent="0.25">
      <c r="D1237" s="35"/>
    </row>
    <row r="1238" spans="4:4" x14ac:dyDescent="0.25">
      <c r="D1238" s="35"/>
    </row>
    <row r="1239" spans="4:4" x14ac:dyDescent="0.25">
      <c r="D1239" s="35"/>
    </row>
    <row r="1240" spans="4:4" x14ac:dyDescent="0.25">
      <c r="D1240" s="35"/>
    </row>
    <row r="1241" spans="4:4" x14ac:dyDescent="0.25">
      <c r="D1241" s="35"/>
    </row>
    <row r="1242" spans="4:4" x14ac:dyDescent="0.25">
      <c r="D1242" s="35"/>
    </row>
    <row r="1243" spans="4:4" x14ac:dyDescent="0.25">
      <c r="D1243" s="35"/>
    </row>
    <row r="1244" spans="4:4" x14ac:dyDescent="0.25">
      <c r="D1244" s="35"/>
    </row>
    <row r="1245" spans="4:4" x14ac:dyDescent="0.25">
      <c r="D1245" s="35"/>
    </row>
    <row r="1246" spans="4:4" x14ac:dyDescent="0.25">
      <c r="D1246" s="35"/>
    </row>
    <row r="1247" spans="4:4" x14ac:dyDescent="0.25">
      <c r="D1247" s="35"/>
    </row>
    <row r="1248" spans="4:4" x14ac:dyDescent="0.25">
      <c r="D1248" s="35"/>
    </row>
    <row r="1249" spans="4:4" x14ac:dyDescent="0.25">
      <c r="D1249" s="35"/>
    </row>
    <row r="1250" spans="4:4" x14ac:dyDescent="0.25">
      <c r="D1250" s="35"/>
    </row>
    <row r="1251" spans="4:4" x14ac:dyDescent="0.25">
      <c r="D1251" s="35"/>
    </row>
    <row r="1252" spans="4:4" x14ac:dyDescent="0.25">
      <c r="D1252" s="35"/>
    </row>
    <row r="1253" spans="4:4" x14ac:dyDescent="0.25">
      <c r="D1253" s="35"/>
    </row>
    <row r="1254" spans="4:4" x14ac:dyDescent="0.25">
      <c r="D1254" s="35"/>
    </row>
    <row r="1255" spans="4:4" x14ac:dyDescent="0.25">
      <c r="D1255" s="35"/>
    </row>
    <row r="1256" spans="4:4" x14ac:dyDescent="0.25">
      <c r="D1256" s="35"/>
    </row>
    <row r="1257" spans="4:4" x14ac:dyDescent="0.25">
      <c r="D1257" s="35"/>
    </row>
    <row r="1258" spans="4:4" x14ac:dyDescent="0.25">
      <c r="D1258" s="35"/>
    </row>
    <row r="1259" spans="4:4" x14ac:dyDescent="0.25">
      <c r="D1259" s="35"/>
    </row>
    <row r="1260" spans="4:4" x14ac:dyDescent="0.25">
      <c r="D1260" s="35"/>
    </row>
    <row r="1261" spans="4:4" x14ac:dyDescent="0.25">
      <c r="D1261" s="35"/>
    </row>
    <row r="1262" spans="4:4" x14ac:dyDescent="0.25">
      <c r="D1262" s="35"/>
    </row>
    <row r="1263" spans="4:4" x14ac:dyDescent="0.25">
      <c r="D1263" s="35"/>
    </row>
    <row r="1264" spans="4:4" x14ac:dyDescent="0.25">
      <c r="D1264" s="35"/>
    </row>
    <row r="1265" spans="4:4" x14ac:dyDescent="0.25">
      <c r="D1265" s="35"/>
    </row>
    <row r="1266" spans="4:4" x14ac:dyDescent="0.25">
      <c r="D1266" s="35"/>
    </row>
    <row r="1267" spans="4:4" x14ac:dyDescent="0.25">
      <c r="D1267" s="35"/>
    </row>
    <row r="1268" spans="4:4" x14ac:dyDescent="0.25">
      <c r="D1268" s="35"/>
    </row>
    <row r="1269" spans="4:4" x14ac:dyDescent="0.25">
      <c r="D1269" s="35"/>
    </row>
    <row r="1270" spans="4:4" x14ac:dyDescent="0.25">
      <c r="D1270" s="35"/>
    </row>
    <row r="1271" spans="4:4" x14ac:dyDescent="0.25">
      <c r="D1271" s="35"/>
    </row>
    <row r="1272" spans="4:4" x14ac:dyDescent="0.25">
      <c r="D1272" s="35"/>
    </row>
    <row r="1273" spans="4:4" x14ac:dyDescent="0.25">
      <c r="D1273" s="35"/>
    </row>
    <row r="1274" spans="4:4" x14ac:dyDescent="0.25">
      <c r="D1274" s="35"/>
    </row>
    <row r="1275" spans="4:4" x14ac:dyDescent="0.25">
      <c r="D1275" s="35"/>
    </row>
    <row r="1276" spans="4:4" x14ac:dyDescent="0.25">
      <c r="D1276" s="35"/>
    </row>
    <row r="1277" spans="4:4" x14ac:dyDescent="0.25">
      <c r="D1277" s="35"/>
    </row>
    <row r="1278" spans="4:4" x14ac:dyDescent="0.25">
      <c r="D1278" s="35"/>
    </row>
    <row r="1279" spans="4:4" x14ac:dyDescent="0.25">
      <c r="D1279" s="35"/>
    </row>
    <row r="1280" spans="4:4" x14ac:dyDescent="0.25">
      <c r="D1280" s="35"/>
    </row>
    <row r="1281" spans="4:4" x14ac:dyDescent="0.25">
      <c r="D1281" s="35"/>
    </row>
    <row r="1282" spans="4:4" x14ac:dyDescent="0.25">
      <c r="D1282" s="35"/>
    </row>
    <row r="1283" spans="4:4" x14ac:dyDescent="0.25">
      <c r="D1283" s="35"/>
    </row>
    <row r="1284" spans="4:4" x14ac:dyDescent="0.25">
      <c r="D1284" s="35"/>
    </row>
    <row r="1285" spans="4:4" x14ac:dyDescent="0.25">
      <c r="D1285" s="35"/>
    </row>
    <row r="1286" spans="4:4" x14ac:dyDescent="0.25">
      <c r="D1286" s="35"/>
    </row>
    <row r="1287" spans="4:4" x14ac:dyDescent="0.25">
      <c r="D1287" s="35"/>
    </row>
    <row r="1288" spans="4:4" x14ac:dyDescent="0.25">
      <c r="D1288" s="35"/>
    </row>
    <row r="1289" spans="4:4" x14ac:dyDescent="0.25">
      <c r="D1289" s="35"/>
    </row>
    <row r="1290" spans="4:4" x14ac:dyDescent="0.25">
      <c r="D1290" s="35"/>
    </row>
    <row r="1291" spans="4:4" x14ac:dyDescent="0.25">
      <c r="D1291" s="35"/>
    </row>
    <row r="1292" spans="4:4" x14ac:dyDescent="0.25">
      <c r="D1292" s="35"/>
    </row>
    <row r="1293" spans="4:4" x14ac:dyDescent="0.25">
      <c r="D1293" s="35"/>
    </row>
    <row r="1294" spans="4:4" x14ac:dyDescent="0.25">
      <c r="D1294" s="35"/>
    </row>
    <row r="1295" spans="4:4" x14ac:dyDescent="0.25">
      <c r="D1295" s="35"/>
    </row>
    <row r="1296" spans="4:4" x14ac:dyDescent="0.25">
      <c r="D1296" s="35"/>
    </row>
    <row r="1297" spans="4:4" x14ac:dyDescent="0.25">
      <c r="D1297" s="35"/>
    </row>
    <row r="1298" spans="4:4" x14ac:dyDescent="0.25">
      <c r="D1298" s="35"/>
    </row>
    <row r="1299" spans="4:4" x14ac:dyDescent="0.25">
      <c r="D1299" s="35"/>
    </row>
    <row r="1300" spans="4:4" x14ac:dyDescent="0.25">
      <c r="D1300" s="35"/>
    </row>
    <row r="1301" spans="4:4" x14ac:dyDescent="0.25">
      <c r="D1301" s="35"/>
    </row>
    <row r="1302" spans="4:4" x14ac:dyDescent="0.25">
      <c r="D1302" s="35"/>
    </row>
    <row r="1303" spans="4:4" x14ac:dyDescent="0.25">
      <c r="D1303" s="35"/>
    </row>
    <row r="1304" spans="4:4" x14ac:dyDescent="0.25">
      <c r="D1304" s="35"/>
    </row>
    <row r="1305" spans="4:4" x14ac:dyDescent="0.25">
      <c r="D1305" s="35"/>
    </row>
    <row r="1306" spans="4:4" x14ac:dyDescent="0.25">
      <c r="D1306" s="35"/>
    </row>
    <row r="1307" spans="4:4" x14ac:dyDescent="0.25">
      <c r="D1307" s="35"/>
    </row>
    <row r="1308" spans="4:4" x14ac:dyDescent="0.25">
      <c r="D1308" s="35"/>
    </row>
    <row r="1309" spans="4:4" x14ac:dyDescent="0.25">
      <c r="D1309" s="35"/>
    </row>
    <row r="1310" spans="4:4" x14ac:dyDescent="0.25">
      <c r="D1310" s="35"/>
    </row>
    <row r="1311" spans="4:4" x14ac:dyDescent="0.25">
      <c r="D1311" s="35"/>
    </row>
    <row r="1312" spans="4:4" x14ac:dyDescent="0.25">
      <c r="D1312" s="35"/>
    </row>
    <row r="1313" spans="4:4" x14ac:dyDescent="0.25">
      <c r="D1313" s="35"/>
    </row>
    <row r="1314" spans="4:4" x14ac:dyDescent="0.25">
      <c r="D1314" s="35"/>
    </row>
    <row r="1315" spans="4:4" x14ac:dyDescent="0.25">
      <c r="D1315" s="35"/>
    </row>
    <row r="1316" spans="4:4" x14ac:dyDescent="0.25">
      <c r="D1316" s="35"/>
    </row>
    <row r="1317" spans="4:4" x14ac:dyDescent="0.25">
      <c r="D1317" s="35"/>
    </row>
    <row r="1318" spans="4:4" x14ac:dyDescent="0.25">
      <c r="D1318" s="35"/>
    </row>
    <row r="1319" spans="4:4" x14ac:dyDescent="0.25">
      <c r="D1319" s="35"/>
    </row>
    <row r="1320" spans="4:4" x14ac:dyDescent="0.25">
      <c r="D1320" s="35"/>
    </row>
    <row r="1321" spans="4:4" x14ac:dyDescent="0.25">
      <c r="D1321" s="35"/>
    </row>
    <row r="1322" spans="4:4" x14ac:dyDescent="0.25">
      <c r="D1322" s="35"/>
    </row>
    <row r="1323" spans="4:4" x14ac:dyDescent="0.25">
      <c r="D1323" s="35"/>
    </row>
    <row r="1324" spans="4:4" x14ac:dyDescent="0.25">
      <c r="D1324" s="35"/>
    </row>
    <row r="1325" spans="4:4" x14ac:dyDescent="0.25">
      <c r="D1325" s="35"/>
    </row>
    <row r="1326" spans="4:4" x14ac:dyDescent="0.25">
      <c r="D1326" s="35"/>
    </row>
    <row r="1327" spans="4:4" x14ac:dyDescent="0.25">
      <c r="D1327" s="35"/>
    </row>
    <row r="1328" spans="4:4" x14ac:dyDescent="0.25">
      <c r="D1328" s="35"/>
    </row>
    <row r="1329" spans="4:4" x14ac:dyDescent="0.25">
      <c r="D1329" s="35"/>
    </row>
    <row r="1330" spans="4:4" x14ac:dyDescent="0.25">
      <c r="D1330" s="35"/>
    </row>
    <row r="1331" spans="4:4" x14ac:dyDescent="0.25">
      <c r="D1331" s="35"/>
    </row>
    <row r="1332" spans="4:4" x14ac:dyDescent="0.25">
      <c r="D1332" s="35"/>
    </row>
    <row r="1333" spans="4:4" x14ac:dyDescent="0.25">
      <c r="D1333" s="35"/>
    </row>
    <row r="1334" spans="4:4" x14ac:dyDescent="0.25">
      <c r="D1334" s="35"/>
    </row>
    <row r="1335" spans="4:4" x14ac:dyDescent="0.25">
      <c r="D1335" s="35"/>
    </row>
    <row r="1336" spans="4:4" x14ac:dyDescent="0.25">
      <c r="D1336" s="35"/>
    </row>
    <row r="1337" spans="4:4" x14ac:dyDescent="0.25">
      <c r="D1337" s="35"/>
    </row>
    <row r="1338" spans="4:4" x14ac:dyDescent="0.25">
      <c r="D1338" s="35"/>
    </row>
    <row r="1339" spans="4:4" x14ac:dyDescent="0.25">
      <c r="D1339" s="35"/>
    </row>
    <row r="1340" spans="4:4" x14ac:dyDescent="0.25">
      <c r="D1340" s="35"/>
    </row>
    <row r="1341" spans="4:4" x14ac:dyDescent="0.25">
      <c r="D1341" s="35"/>
    </row>
    <row r="1342" spans="4:4" x14ac:dyDescent="0.25">
      <c r="D1342" s="35"/>
    </row>
    <row r="1343" spans="4:4" x14ac:dyDescent="0.25">
      <c r="D1343" s="35"/>
    </row>
    <row r="1344" spans="4:4" x14ac:dyDescent="0.25">
      <c r="D1344" s="35"/>
    </row>
    <row r="1345" spans="4:4" x14ac:dyDescent="0.25">
      <c r="D1345" s="35"/>
    </row>
    <row r="1346" spans="4:4" x14ac:dyDescent="0.25">
      <c r="D1346" s="35"/>
    </row>
    <row r="1347" spans="4:4" x14ac:dyDescent="0.25">
      <c r="D1347" s="35"/>
    </row>
    <row r="1348" spans="4:4" x14ac:dyDescent="0.25">
      <c r="D1348" s="35"/>
    </row>
    <row r="1349" spans="4:4" x14ac:dyDescent="0.25">
      <c r="D1349" s="35"/>
    </row>
    <row r="1350" spans="4:4" x14ac:dyDescent="0.25">
      <c r="D1350" s="35"/>
    </row>
    <row r="1351" spans="4:4" x14ac:dyDescent="0.25">
      <c r="D1351" s="35"/>
    </row>
    <row r="1352" spans="4:4" x14ac:dyDescent="0.25">
      <c r="D1352" s="35"/>
    </row>
    <row r="1353" spans="4:4" x14ac:dyDescent="0.25">
      <c r="D1353" s="35"/>
    </row>
    <row r="1354" spans="4:4" x14ac:dyDescent="0.25">
      <c r="D1354" s="35"/>
    </row>
    <row r="1355" spans="4:4" x14ac:dyDescent="0.25">
      <c r="D1355" s="35"/>
    </row>
    <row r="1356" spans="4:4" x14ac:dyDescent="0.25">
      <c r="D1356" s="35"/>
    </row>
    <row r="1357" spans="4:4" x14ac:dyDescent="0.25">
      <c r="D1357" s="35"/>
    </row>
    <row r="1358" spans="4:4" x14ac:dyDescent="0.25">
      <c r="D1358" s="35"/>
    </row>
    <row r="1359" spans="4:4" x14ac:dyDescent="0.25">
      <c r="D1359" s="35"/>
    </row>
    <row r="1360" spans="4:4" x14ac:dyDescent="0.25">
      <c r="D1360" s="35"/>
    </row>
    <row r="1361" spans="4:4" x14ac:dyDescent="0.25">
      <c r="D1361" s="35"/>
    </row>
    <row r="1362" spans="4:4" x14ac:dyDescent="0.25">
      <c r="D1362" s="35"/>
    </row>
    <row r="1363" spans="4:4" x14ac:dyDescent="0.25">
      <c r="D1363" s="35"/>
    </row>
    <row r="1364" spans="4:4" x14ac:dyDescent="0.25">
      <c r="D1364" s="35"/>
    </row>
    <row r="1365" spans="4:4" x14ac:dyDescent="0.25">
      <c r="D1365" s="35"/>
    </row>
    <row r="1366" spans="4:4" x14ac:dyDescent="0.25">
      <c r="D1366" s="35"/>
    </row>
    <row r="1367" spans="4:4" x14ac:dyDescent="0.25">
      <c r="D1367" s="35"/>
    </row>
    <row r="1368" spans="4:4" x14ac:dyDescent="0.25">
      <c r="D1368" s="35"/>
    </row>
    <row r="1369" spans="4:4" x14ac:dyDescent="0.25">
      <c r="D1369" s="35"/>
    </row>
    <row r="1370" spans="4:4" x14ac:dyDescent="0.25">
      <c r="D1370" s="35"/>
    </row>
    <row r="1371" spans="4:4" x14ac:dyDescent="0.25">
      <c r="D1371" s="35"/>
    </row>
    <row r="1372" spans="4:4" x14ac:dyDescent="0.25">
      <c r="D1372" s="35"/>
    </row>
    <row r="1373" spans="4:4" x14ac:dyDescent="0.25">
      <c r="D1373" s="35"/>
    </row>
    <row r="1374" spans="4:4" x14ac:dyDescent="0.25">
      <c r="D1374" s="35"/>
    </row>
    <row r="1375" spans="4:4" x14ac:dyDescent="0.25">
      <c r="D1375" s="35"/>
    </row>
    <row r="1376" spans="4:4" x14ac:dyDescent="0.25">
      <c r="D1376" s="35"/>
    </row>
    <row r="1377" spans="4:4" x14ac:dyDescent="0.25">
      <c r="D1377" s="35"/>
    </row>
    <row r="1378" spans="4:4" x14ac:dyDescent="0.25">
      <c r="D1378" s="35"/>
    </row>
    <row r="1379" spans="4:4" x14ac:dyDescent="0.25">
      <c r="D1379" s="35"/>
    </row>
    <row r="1380" spans="4:4" x14ac:dyDescent="0.25">
      <c r="D1380" s="35"/>
    </row>
    <row r="1381" spans="4:4" x14ac:dyDescent="0.25">
      <c r="D1381" s="35"/>
    </row>
    <row r="1382" spans="4:4" x14ac:dyDescent="0.25">
      <c r="D1382" s="35"/>
    </row>
    <row r="1383" spans="4:4" x14ac:dyDescent="0.25">
      <c r="D1383" s="35"/>
    </row>
    <row r="1384" spans="4:4" x14ac:dyDescent="0.25">
      <c r="D1384" s="35"/>
    </row>
    <row r="1385" spans="4:4" x14ac:dyDescent="0.25">
      <c r="D1385" s="35"/>
    </row>
    <row r="1386" spans="4:4" x14ac:dyDescent="0.25">
      <c r="D1386" s="35"/>
    </row>
    <row r="1387" spans="4:4" x14ac:dyDescent="0.25">
      <c r="D1387" s="35"/>
    </row>
    <row r="1388" spans="4:4" x14ac:dyDescent="0.25">
      <c r="D1388" s="35"/>
    </row>
    <row r="1389" spans="4:4" x14ac:dyDescent="0.25">
      <c r="D1389" s="35"/>
    </row>
    <row r="1390" spans="4:4" x14ac:dyDescent="0.25">
      <c r="D1390" s="35"/>
    </row>
    <row r="1391" spans="4:4" x14ac:dyDescent="0.25">
      <c r="D1391" s="35"/>
    </row>
    <row r="1392" spans="4:4" x14ac:dyDescent="0.25">
      <c r="D1392" s="35"/>
    </row>
    <row r="1393" spans="4:4" x14ac:dyDescent="0.25">
      <c r="D1393" s="35"/>
    </row>
    <row r="1394" spans="4:4" x14ac:dyDescent="0.25">
      <c r="D1394" s="35"/>
    </row>
    <row r="1395" spans="4:4" x14ac:dyDescent="0.25">
      <c r="D1395" s="35"/>
    </row>
    <row r="1396" spans="4:4" x14ac:dyDescent="0.25">
      <c r="D1396" s="35"/>
    </row>
    <row r="1397" spans="4:4" x14ac:dyDescent="0.25">
      <c r="D1397" s="35"/>
    </row>
    <row r="1398" spans="4:4" x14ac:dyDescent="0.25">
      <c r="D1398" s="35"/>
    </row>
    <row r="1399" spans="4:4" x14ac:dyDescent="0.25">
      <c r="D1399" s="35"/>
    </row>
    <row r="1400" spans="4:4" x14ac:dyDescent="0.25">
      <c r="D1400" s="35"/>
    </row>
    <row r="1401" spans="4:4" x14ac:dyDescent="0.25">
      <c r="D1401" s="35"/>
    </row>
    <row r="1402" spans="4:4" x14ac:dyDescent="0.25">
      <c r="D1402" s="35"/>
    </row>
    <row r="1403" spans="4:4" x14ac:dyDescent="0.25">
      <c r="D1403" s="35"/>
    </row>
    <row r="1404" spans="4:4" x14ac:dyDescent="0.25">
      <c r="D1404" s="35"/>
    </row>
    <row r="1405" spans="4:4" x14ac:dyDescent="0.25">
      <c r="D1405" s="35"/>
    </row>
    <row r="1406" spans="4:4" x14ac:dyDescent="0.25">
      <c r="D1406" s="35"/>
    </row>
    <row r="1407" spans="4:4" x14ac:dyDescent="0.25">
      <c r="D1407" s="35"/>
    </row>
    <row r="1408" spans="4:4" x14ac:dyDescent="0.25">
      <c r="D1408" s="35"/>
    </row>
    <row r="1409" spans="4:4" x14ac:dyDescent="0.25">
      <c r="D1409" s="35"/>
    </row>
    <row r="1410" spans="4:4" x14ac:dyDescent="0.25">
      <c r="D1410" s="35"/>
    </row>
    <row r="1411" spans="4:4" x14ac:dyDescent="0.25">
      <c r="D1411" s="35"/>
    </row>
    <row r="1412" spans="4:4" x14ac:dyDescent="0.25">
      <c r="D1412" s="35"/>
    </row>
    <row r="1413" spans="4:4" x14ac:dyDescent="0.25">
      <c r="D1413" s="35"/>
    </row>
    <row r="1414" spans="4:4" x14ac:dyDescent="0.25">
      <c r="D1414" s="35"/>
    </row>
    <row r="1415" spans="4:4" x14ac:dyDescent="0.25">
      <c r="D1415" s="35"/>
    </row>
    <row r="1416" spans="4:4" x14ac:dyDescent="0.25">
      <c r="D1416" s="35"/>
    </row>
    <row r="1417" spans="4:4" x14ac:dyDescent="0.25">
      <c r="D1417" s="35"/>
    </row>
    <row r="1418" spans="4:4" x14ac:dyDescent="0.25">
      <c r="D1418" s="35"/>
    </row>
    <row r="1419" spans="4:4" x14ac:dyDescent="0.25">
      <c r="D1419" s="35"/>
    </row>
    <row r="1420" spans="4:4" x14ac:dyDescent="0.25">
      <c r="D1420" s="35"/>
    </row>
    <row r="1421" spans="4:4" x14ac:dyDescent="0.25">
      <c r="D1421" s="35"/>
    </row>
    <row r="1422" spans="4:4" x14ac:dyDescent="0.25">
      <c r="D1422" s="35"/>
    </row>
    <row r="1423" spans="4:4" x14ac:dyDescent="0.25">
      <c r="D1423" s="35"/>
    </row>
    <row r="1424" spans="4:4" x14ac:dyDescent="0.25">
      <c r="D1424" s="35"/>
    </row>
    <row r="1425" spans="4:4" x14ac:dyDescent="0.25">
      <c r="D1425" s="35"/>
    </row>
    <row r="1426" spans="4:4" x14ac:dyDescent="0.25">
      <c r="D1426" s="35"/>
    </row>
    <row r="1427" spans="4:4" x14ac:dyDescent="0.25">
      <c r="D1427" s="35"/>
    </row>
    <row r="1428" spans="4:4" x14ac:dyDescent="0.25">
      <c r="D1428" s="35"/>
    </row>
    <row r="1429" spans="4:4" x14ac:dyDescent="0.25">
      <c r="D1429" s="35"/>
    </row>
    <row r="1430" spans="4:4" x14ac:dyDescent="0.25">
      <c r="D1430" s="35"/>
    </row>
    <row r="1431" spans="4:4" x14ac:dyDescent="0.25">
      <c r="D1431" s="35"/>
    </row>
    <row r="1432" spans="4:4" x14ac:dyDescent="0.25">
      <c r="D1432" s="35"/>
    </row>
    <row r="1433" spans="4:4" x14ac:dyDescent="0.25">
      <c r="D1433" s="35"/>
    </row>
    <row r="1434" spans="4:4" x14ac:dyDescent="0.25">
      <c r="D1434" s="35"/>
    </row>
    <row r="1435" spans="4:4" x14ac:dyDescent="0.25">
      <c r="D1435" s="35"/>
    </row>
    <row r="1436" spans="4:4" x14ac:dyDescent="0.25">
      <c r="D1436" s="35"/>
    </row>
    <row r="1437" spans="4:4" x14ac:dyDescent="0.25">
      <c r="D1437" s="35"/>
    </row>
    <row r="1438" spans="4:4" x14ac:dyDescent="0.25">
      <c r="D1438" s="35"/>
    </row>
    <row r="1439" spans="4:4" x14ac:dyDescent="0.25">
      <c r="D1439" s="35"/>
    </row>
    <row r="1440" spans="4:4" x14ac:dyDescent="0.25">
      <c r="D1440" s="35"/>
    </row>
    <row r="1441" spans="4:4" x14ac:dyDescent="0.25">
      <c r="D1441" s="35"/>
    </row>
    <row r="1442" spans="4:4" x14ac:dyDescent="0.25">
      <c r="D1442" s="35"/>
    </row>
    <row r="1443" spans="4:4" x14ac:dyDescent="0.25">
      <c r="D1443" s="35"/>
    </row>
    <row r="1444" spans="4:4" x14ac:dyDescent="0.25">
      <c r="D1444" s="35"/>
    </row>
    <row r="1445" spans="4:4" x14ac:dyDescent="0.25">
      <c r="D1445" s="35"/>
    </row>
    <row r="1446" spans="4:4" x14ac:dyDescent="0.25">
      <c r="D1446" s="35"/>
    </row>
    <row r="1447" spans="4:4" x14ac:dyDescent="0.25">
      <c r="D1447" s="35"/>
    </row>
    <row r="1448" spans="4:4" x14ac:dyDescent="0.25">
      <c r="D1448" s="35"/>
    </row>
    <row r="1449" spans="4:4" x14ac:dyDescent="0.25">
      <c r="D1449" s="35"/>
    </row>
    <row r="1450" spans="4:4" x14ac:dyDescent="0.25">
      <c r="D1450" s="35"/>
    </row>
    <row r="1451" spans="4:4" x14ac:dyDescent="0.25">
      <c r="D1451" s="35"/>
    </row>
    <row r="1452" spans="4:4" x14ac:dyDescent="0.25">
      <c r="D1452" s="35"/>
    </row>
    <row r="1453" spans="4:4" x14ac:dyDescent="0.25">
      <c r="D1453" s="35"/>
    </row>
    <row r="1454" spans="4:4" x14ac:dyDescent="0.25">
      <c r="D1454" s="35"/>
    </row>
    <row r="1455" spans="4:4" x14ac:dyDescent="0.25">
      <c r="D1455" s="35"/>
    </row>
    <row r="1456" spans="4:4" x14ac:dyDescent="0.25">
      <c r="D1456" s="35"/>
    </row>
    <row r="1457" spans="4:4" x14ac:dyDescent="0.25">
      <c r="D1457" s="35"/>
    </row>
    <row r="1458" spans="4:4" x14ac:dyDescent="0.25">
      <c r="D1458" s="35"/>
    </row>
    <row r="1459" spans="4:4" x14ac:dyDescent="0.25">
      <c r="D1459" s="35"/>
    </row>
    <row r="1460" spans="4:4" x14ac:dyDescent="0.25">
      <c r="D1460" s="35"/>
    </row>
    <row r="1461" spans="4:4" x14ac:dyDescent="0.25">
      <c r="D1461" s="35"/>
    </row>
    <row r="1462" spans="4:4" x14ac:dyDescent="0.25">
      <c r="D1462" s="35"/>
    </row>
    <row r="1463" spans="4:4" x14ac:dyDescent="0.25">
      <c r="D1463" s="35"/>
    </row>
    <row r="1464" spans="4:4" x14ac:dyDescent="0.25">
      <c r="D1464" s="35"/>
    </row>
    <row r="1465" spans="4:4" x14ac:dyDescent="0.25">
      <c r="D1465" s="35"/>
    </row>
    <row r="1466" spans="4:4" x14ac:dyDescent="0.25">
      <c r="D1466" s="35"/>
    </row>
    <row r="1467" spans="4:4" x14ac:dyDescent="0.25">
      <c r="D1467" s="35"/>
    </row>
    <row r="1468" spans="4:4" x14ac:dyDescent="0.25">
      <c r="D1468" s="35"/>
    </row>
    <row r="1469" spans="4:4" x14ac:dyDescent="0.25">
      <c r="D1469" s="35"/>
    </row>
    <row r="1470" spans="4:4" x14ac:dyDescent="0.25">
      <c r="D1470" s="35"/>
    </row>
    <row r="1471" spans="4:4" x14ac:dyDescent="0.25">
      <c r="D1471" s="35"/>
    </row>
    <row r="1472" spans="4:4" x14ac:dyDescent="0.25">
      <c r="D1472" s="35"/>
    </row>
    <row r="1473" spans="4:4" x14ac:dyDescent="0.25">
      <c r="D1473" s="35"/>
    </row>
    <row r="1474" spans="4:4" x14ac:dyDescent="0.25">
      <c r="D1474" s="35"/>
    </row>
    <row r="1475" spans="4:4" x14ac:dyDescent="0.25">
      <c r="D1475" s="35"/>
    </row>
    <row r="1476" spans="4:4" x14ac:dyDescent="0.25">
      <c r="D1476" s="35"/>
    </row>
    <row r="1477" spans="4:4" x14ac:dyDescent="0.25">
      <c r="D1477" s="35"/>
    </row>
    <row r="1478" spans="4:4" x14ac:dyDescent="0.25">
      <c r="D1478" s="35"/>
    </row>
    <row r="1479" spans="4:4" x14ac:dyDescent="0.25">
      <c r="D1479" s="35"/>
    </row>
    <row r="1480" spans="4:4" x14ac:dyDescent="0.25">
      <c r="D1480" s="35"/>
    </row>
    <row r="1481" spans="4:4" x14ac:dyDescent="0.25">
      <c r="D1481" s="35"/>
    </row>
    <row r="1482" spans="4:4" x14ac:dyDescent="0.25">
      <c r="D1482" s="35"/>
    </row>
    <row r="1483" spans="4:4" x14ac:dyDescent="0.25">
      <c r="D1483" s="35"/>
    </row>
    <row r="1484" spans="4:4" x14ac:dyDescent="0.25">
      <c r="D1484" s="35"/>
    </row>
    <row r="1485" spans="4:4" x14ac:dyDescent="0.25">
      <c r="D1485" s="35"/>
    </row>
    <row r="1486" spans="4:4" x14ac:dyDescent="0.25">
      <c r="D1486" s="35"/>
    </row>
    <row r="1487" spans="4:4" x14ac:dyDescent="0.25">
      <c r="D1487" s="35"/>
    </row>
    <row r="1488" spans="4:4" x14ac:dyDescent="0.25">
      <c r="D1488" s="35"/>
    </row>
    <row r="1489" spans="4:4" x14ac:dyDescent="0.25">
      <c r="D1489" s="35"/>
    </row>
    <row r="1490" spans="4:4" x14ac:dyDescent="0.25">
      <c r="D1490" s="35"/>
    </row>
    <row r="1491" spans="4:4" x14ac:dyDescent="0.25">
      <c r="D1491" s="35"/>
    </row>
    <row r="1492" spans="4:4" x14ac:dyDescent="0.25">
      <c r="D1492" s="35"/>
    </row>
    <row r="1493" spans="4:4" x14ac:dyDescent="0.25">
      <c r="D1493" s="35"/>
    </row>
    <row r="1494" spans="4:4" x14ac:dyDescent="0.25">
      <c r="D1494" s="35"/>
    </row>
    <row r="1495" spans="4:4" x14ac:dyDescent="0.25">
      <c r="D1495" s="35"/>
    </row>
    <row r="1496" spans="4:4" x14ac:dyDescent="0.25">
      <c r="D1496" s="35"/>
    </row>
    <row r="1497" spans="4:4" x14ac:dyDescent="0.25">
      <c r="D1497" s="35"/>
    </row>
    <row r="1498" spans="4:4" x14ac:dyDescent="0.25">
      <c r="D1498" s="35"/>
    </row>
    <row r="1499" spans="4:4" x14ac:dyDescent="0.25">
      <c r="D1499" s="35"/>
    </row>
    <row r="1500" spans="4:4" x14ac:dyDescent="0.25">
      <c r="D1500" s="35"/>
    </row>
    <row r="1501" spans="4:4" x14ac:dyDescent="0.25">
      <c r="D1501" s="35"/>
    </row>
    <row r="1502" spans="4:4" x14ac:dyDescent="0.25">
      <c r="D1502" s="35"/>
    </row>
    <row r="1503" spans="4:4" x14ac:dyDescent="0.25">
      <c r="D1503" s="35"/>
    </row>
    <row r="1504" spans="4:4" x14ac:dyDescent="0.25">
      <c r="D1504" s="35"/>
    </row>
    <row r="1505" spans="4:4" x14ac:dyDescent="0.25">
      <c r="D1505" s="35"/>
    </row>
    <row r="1506" spans="4:4" x14ac:dyDescent="0.25">
      <c r="D1506" s="35"/>
    </row>
    <row r="1507" spans="4:4" x14ac:dyDescent="0.25">
      <c r="D1507" s="35"/>
    </row>
    <row r="1508" spans="4:4" x14ac:dyDescent="0.25">
      <c r="D1508" s="35"/>
    </row>
    <row r="1509" spans="4:4" x14ac:dyDescent="0.25">
      <c r="D1509" s="35"/>
    </row>
    <row r="1510" spans="4:4" x14ac:dyDescent="0.25">
      <c r="D1510" s="35"/>
    </row>
    <row r="1511" spans="4:4" x14ac:dyDescent="0.25">
      <c r="D1511" s="35"/>
    </row>
    <row r="1512" spans="4:4" x14ac:dyDescent="0.25">
      <c r="D1512" s="35"/>
    </row>
    <row r="1513" spans="4:4" x14ac:dyDescent="0.25">
      <c r="D1513" s="35"/>
    </row>
    <row r="1514" spans="4:4" x14ac:dyDescent="0.25">
      <c r="D1514" s="35"/>
    </row>
    <row r="1515" spans="4:4" x14ac:dyDescent="0.25">
      <c r="D1515" s="35"/>
    </row>
    <row r="1516" spans="4:4" x14ac:dyDescent="0.25">
      <c r="D1516" s="35"/>
    </row>
    <row r="1517" spans="4:4" x14ac:dyDescent="0.25">
      <c r="D1517" s="35"/>
    </row>
    <row r="1518" spans="4:4" x14ac:dyDescent="0.25">
      <c r="D1518" s="35"/>
    </row>
    <row r="1519" spans="4:4" x14ac:dyDescent="0.25">
      <c r="D1519" s="35"/>
    </row>
    <row r="1520" spans="4:4" x14ac:dyDescent="0.25">
      <c r="D1520" s="35"/>
    </row>
    <row r="1521" spans="4:4" x14ac:dyDescent="0.25">
      <c r="D1521" s="35"/>
    </row>
    <row r="1522" spans="4:4" x14ac:dyDescent="0.25">
      <c r="D1522" s="35"/>
    </row>
    <row r="1523" spans="4:4" x14ac:dyDescent="0.25">
      <c r="D1523" s="35"/>
    </row>
    <row r="1524" spans="4:4" x14ac:dyDescent="0.25">
      <c r="D1524" s="35"/>
    </row>
    <row r="1525" spans="4:4" x14ac:dyDescent="0.25">
      <c r="D1525" s="35"/>
    </row>
    <row r="1526" spans="4:4" x14ac:dyDescent="0.25">
      <c r="D1526" s="35"/>
    </row>
    <row r="1527" spans="4:4" x14ac:dyDescent="0.25">
      <c r="D1527" s="35"/>
    </row>
    <row r="1528" spans="4:4" x14ac:dyDescent="0.25">
      <c r="D1528" s="35"/>
    </row>
    <row r="1529" spans="4:4" x14ac:dyDescent="0.25">
      <c r="D1529" s="35"/>
    </row>
    <row r="1530" spans="4:4" x14ac:dyDescent="0.25">
      <c r="D1530" s="35"/>
    </row>
    <row r="1531" spans="4:4" x14ac:dyDescent="0.25">
      <c r="D1531" s="35"/>
    </row>
    <row r="1532" spans="4:4" x14ac:dyDescent="0.25">
      <c r="D1532" s="35"/>
    </row>
    <row r="1533" spans="4:4" x14ac:dyDescent="0.25">
      <c r="D1533" s="35"/>
    </row>
    <row r="1534" spans="4:4" x14ac:dyDescent="0.25">
      <c r="D1534" s="35"/>
    </row>
    <row r="1535" spans="4:4" x14ac:dyDescent="0.25">
      <c r="D1535" s="35"/>
    </row>
    <row r="1536" spans="4:4" x14ac:dyDescent="0.25">
      <c r="D1536" s="35"/>
    </row>
    <row r="1537" spans="4:4" x14ac:dyDescent="0.25">
      <c r="D1537" s="35"/>
    </row>
    <row r="1538" spans="4:4" x14ac:dyDescent="0.25">
      <c r="D1538" s="35"/>
    </row>
    <row r="1539" spans="4:4" x14ac:dyDescent="0.25">
      <c r="D1539" s="35"/>
    </row>
    <row r="1540" spans="4:4" x14ac:dyDescent="0.25">
      <c r="D1540" s="35"/>
    </row>
    <row r="1541" spans="4:4" x14ac:dyDescent="0.25">
      <c r="D1541" s="35"/>
    </row>
    <row r="1542" spans="4:4" x14ac:dyDescent="0.25">
      <c r="D1542" s="35"/>
    </row>
    <row r="1543" spans="4:4" x14ac:dyDescent="0.25">
      <c r="D1543" s="35"/>
    </row>
    <row r="1544" spans="4:4" x14ac:dyDescent="0.25">
      <c r="D1544" s="35"/>
    </row>
    <row r="1545" spans="4:4" x14ac:dyDescent="0.25">
      <c r="D1545" s="35"/>
    </row>
    <row r="1546" spans="4:4" x14ac:dyDescent="0.25">
      <c r="D1546" s="35"/>
    </row>
    <row r="1547" spans="4:4" x14ac:dyDescent="0.25">
      <c r="D1547" s="35"/>
    </row>
    <row r="1548" spans="4:4" x14ac:dyDescent="0.25">
      <c r="D1548" s="35"/>
    </row>
    <row r="1549" spans="4:4" x14ac:dyDescent="0.25">
      <c r="D1549" s="35"/>
    </row>
    <row r="1550" spans="4:4" x14ac:dyDescent="0.25">
      <c r="D1550" s="35"/>
    </row>
    <row r="1551" spans="4:4" x14ac:dyDescent="0.25">
      <c r="D1551" s="35"/>
    </row>
    <row r="1552" spans="4:4" x14ac:dyDescent="0.25">
      <c r="D1552" s="35"/>
    </row>
    <row r="1553" spans="4:4" x14ac:dyDescent="0.25">
      <c r="D1553" s="35"/>
    </row>
    <row r="1554" spans="4:4" x14ac:dyDescent="0.25">
      <c r="D1554" s="35"/>
    </row>
    <row r="1555" spans="4:4" x14ac:dyDescent="0.25">
      <c r="D1555" s="35"/>
    </row>
    <row r="1556" spans="4:4" x14ac:dyDescent="0.25">
      <c r="D1556" s="35"/>
    </row>
    <row r="1557" spans="4:4" x14ac:dyDescent="0.25">
      <c r="D1557" s="35"/>
    </row>
    <row r="1558" spans="4:4" x14ac:dyDescent="0.25">
      <c r="D1558" s="35"/>
    </row>
    <row r="1559" spans="4:4" x14ac:dyDescent="0.25">
      <c r="D1559" s="35"/>
    </row>
    <row r="1560" spans="4:4" x14ac:dyDescent="0.25">
      <c r="D1560" s="35"/>
    </row>
    <row r="1561" spans="4:4" x14ac:dyDescent="0.25">
      <c r="D1561" s="35"/>
    </row>
    <row r="1562" spans="4:4" x14ac:dyDescent="0.25">
      <c r="D1562" s="35"/>
    </row>
    <row r="1563" spans="4:4" x14ac:dyDescent="0.25">
      <c r="D1563" s="35"/>
    </row>
    <row r="1564" spans="4:4" x14ac:dyDescent="0.25">
      <c r="D1564" s="35"/>
    </row>
    <row r="1565" spans="4:4" x14ac:dyDescent="0.25">
      <c r="D1565" s="35"/>
    </row>
    <row r="1566" spans="4:4" x14ac:dyDescent="0.25">
      <c r="D1566" s="35"/>
    </row>
    <row r="1567" spans="4:4" x14ac:dyDescent="0.25">
      <c r="D1567" s="35"/>
    </row>
    <row r="1568" spans="4:4" x14ac:dyDescent="0.25">
      <c r="D1568" s="35"/>
    </row>
    <row r="1569" spans="4:4" x14ac:dyDescent="0.25">
      <c r="D1569" s="35"/>
    </row>
    <row r="1570" spans="4:4" x14ac:dyDescent="0.25">
      <c r="D1570" s="35"/>
    </row>
    <row r="1571" spans="4:4" x14ac:dyDescent="0.25">
      <c r="D1571" s="35"/>
    </row>
    <row r="1572" spans="4:4" x14ac:dyDescent="0.25">
      <c r="D1572" s="35"/>
    </row>
    <row r="1573" spans="4:4" x14ac:dyDescent="0.25">
      <c r="D1573" s="35"/>
    </row>
    <row r="1574" spans="4:4" x14ac:dyDescent="0.25">
      <c r="D1574" s="35"/>
    </row>
    <row r="1575" spans="4:4" x14ac:dyDescent="0.25">
      <c r="D1575" s="35"/>
    </row>
    <row r="1576" spans="4:4" x14ac:dyDescent="0.25">
      <c r="D1576" s="35"/>
    </row>
    <row r="1577" spans="4:4" x14ac:dyDescent="0.25">
      <c r="D1577" s="35"/>
    </row>
    <row r="1578" spans="4:4" x14ac:dyDescent="0.25">
      <c r="D1578" s="35"/>
    </row>
    <row r="1579" spans="4:4" x14ac:dyDescent="0.25">
      <c r="D1579" s="35"/>
    </row>
    <row r="1580" spans="4:4" x14ac:dyDescent="0.25">
      <c r="D1580" s="35"/>
    </row>
    <row r="1581" spans="4:4" x14ac:dyDescent="0.25">
      <c r="D1581" s="35"/>
    </row>
    <row r="1582" spans="4:4" x14ac:dyDescent="0.25">
      <c r="D1582" s="35"/>
    </row>
    <row r="1583" spans="4:4" x14ac:dyDescent="0.25">
      <c r="D1583" s="35"/>
    </row>
    <row r="1584" spans="4:4" x14ac:dyDescent="0.25">
      <c r="D1584" s="35"/>
    </row>
    <row r="1585" spans="4:4" x14ac:dyDescent="0.25">
      <c r="D1585" s="35"/>
    </row>
    <row r="1586" spans="4:4" x14ac:dyDescent="0.25">
      <c r="D1586" s="35"/>
    </row>
    <row r="1587" spans="4:4" x14ac:dyDescent="0.25">
      <c r="D1587" s="35"/>
    </row>
    <row r="1588" spans="4:4" x14ac:dyDescent="0.25">
      <c r="D1588" s="35"/>
    </row>
    <row r="1589" spans="4:4" x14ac:dyDescent="0.25">
      <c r="D1589" s="35"/>
    </row>
    <row r="1590" spans="4:4" x14ac:dyDescent="0.25">
      <c r="D1590" s="35"/>
    </row>
    <row r="1591" spans="4:4" x14ac:dyDescent="0.25">
      <c r="D1591" s="35"/>
    </row>
    <row r="1592" spans="4:4" x14ac:dyDescent="0.25">
      <c r="D1592" s="35"/>
    </row>
    <row r="1593" spans="4:4" x14ac:dyDescent="0.25">
      <c r="D1593" s="35"/>
    </row>
    <row r="1594" spans="4:4" x14ac:dyDescent="0.25">
      <c r="D1594" s="35"/>
    </row>
    <row r="1595" spans="4:4" x14ac:dyDescent="0.25">
      <c r="D1595" s="35"/>
    </row>
    <row r="1596" spans="4:4" x14ac:dyDescent="0.25">
      <c r="D1596" s="35"/>
    </row>
    <row r="1597" spans="4:4" x14ac:dyDescent="0.25">
      <c r="D1597" s="35"/>
    </row>
    <row r="1598" spans="4:4" x14ac:dyDescent="0.25">
      <c r="D1598" s="35"/>
    </row>
    <row r="1599" spans="4:4" x14ac:dyDescent="0.25">
      <c r="D1599" s="35"/>
    </row>
    <row r="1600" spans="4:4" x14ac:dyDescent="0.25">
      <c r="D1600" s="35"/>
    </row>
    <row r="1601" spans="4:4" x14ac:dyDescent="0.25">
      <c r="D1601" s="35"/>
    </row>
    <row r="1602" spans="4:4" x14ac:dyDescent="0.25">
      <c r="D1602" s="35"/>
    </row>
    <row r="1603" spans="4:4" x14ac:dyDescent="0.25">
      <c r="D1603" s="35"/>
    </row>
    <row r="1604" spans="4:4" x14ac:dyDescent="0.25">
      <c r="D1604" s="35"/>
    </row>
    <row r="1605" spans="4:4" x14ac:dyDescent="0.25">
      <c r="D1605" s="35"/>
    </row>
    <row r="1606" spans="4:4" x14ac:dyDescent="0.25">
      <c r="D1606" s="35"/>
    </row>
    <row r="1607" spans="4:4" x14ac:dyDescent="0.25">
      <c r="D1607" s="35"/>
    </row>
    <row r="1608" spans="4:4" x14ac:dyDescent="0.25">
      <c r="D1608" s="35"/>
    </row>
    <row r="1609" spans="4:4" x14ac:dyDescent="0.25">
      <c r="D1609" s="35"/>
    </row>
    <row r="1610" spans="4:4" x14ac:dyDescent="0.25">
      <c r="D1610" s="35"/>
    </row>
    <row r="1611" spans="4:4" x14ac:dyDescent="0.25">
      <c r="D1611" s="35"/>
    </row>
    <row r="1612" spans="4:4" x14ac:dyDescent="0.25">
      <c r="D1612" s="35"/>
    </row>
    <row r="1613" spans="4:4" x14ac:dyDescent="0.25">
      <c r="D1613" s="35"/>
    </row>
    <row r="1614" spans="4:4" x14ac:dyDescent="0.25">
      <c r="D1614" s="35"/>
    </row>
    <row r="1615" spans="4:4" x14ac:dyDescent="0.25">
      <c r="D1615" s="35"/>
    </row>
    <row r="1616" spans="4:4" x14ac:dyDescent="0.25">
      <c r="D1616" s="35"/>
    </row>
    <row r="1617" spans="4:4" x14ac:dyDescent="0.25">
      <c r="D1617" s="35"/>
    </row>
    <row r="1618" spans="4:4" x14ac:dyDescent="0.25">
      <c r="D1618" s="35"/>
    </row>
    <row r="1619" spans="4:4" x14ac:dyDescent="0.25">
      <c r="D1619" s="35"/>
    </row>
    <row r="1620" spans="4:4" x14ac:dyDescent="0.25">
      <c r="D1620" s="35"/>
    </row>
    <row r="1621" spans="4:4" x14ac:dyDescent="0.25">
      <c r="D1621" s="35"/>
    </row>
    <row r="1622" spans="4:4" x14ac:dyDescent="0.25">
      <c r="D1622" s="35"/>
    </row>
    <row r="1623" spans="4:4" x14ac:dyDescent="0.25">
      <c r="D1623" s="35"/>
    </row>
    <row r="1624" spans="4:4" x14ac:dyDescent="0.25">
      <c r="D1624" s="35"/>
    </row>
    <row r="1625" spans="4:4" x14ac:dyDescent="0.25">
      <c r="D1625" s="35"/>
    </row>
    <row r="1626" spans="4:4" x14ac:dyDescent="0.25">
      <c r="D1626" s="35"/>
    </row>
    <row r="1627" spans="4:4" x14ac:dyDescent="0.25">
      <c r="D1627" s="35"/>
    </row>
    <row r="1628" spans="4:4" x14ac:dyDescent="0.25">
      <c r="D1628" s="35"/>
    </row>
    <row r="1629" spans="4:4" x14ac:dyDescent="0.25">
      <c r="D1629" s="35"/>
    </row>
    <row r="1630" spans="4:4" x14ac:dyDescent="0.25">
      <c r="D1630" s="35"/>
    </row>
    <row r="1631" spans="4:4" x14ac:dyDescent="0.25">
      <c r="D1631" s="35"/>
    </row>
    <row r="1632" spans="4:4" x14ac:dyDescent="0.25">
      <c r="D1632" s="35"/>
    </row>
    <row r="1633" spans="4:4" x14ac:dyDescent="0.25">
      <c r="D1633" s="35"/>
    </row>
    <row r="1634" spans="4:4" x14ac:dyDescent="0.25">
      <c r="D1634" s="35"/>
    </row>
    <row r="1635" spans="4:4" x14ac:dyDescent="0.25">
      <c r="D1635" s="35"/>
    </row>
    <row r="1636" spans="4:4" x14ac:dyDescent="0.25">
      <c r="D1636" s="35"/>
    </row>
    <row r="1637" spans="4:4" x14ac:dyDescent="0.25">
      <c r="D1637" s="35"/>
    </row>
    <row r="1638" spans="4:4" x14ac:dyDescent="0.25">
      <c r="D1638" s="35"/>
    </row>
    <row r="1639" spans="4:4" x14ac:dyDescent="0.25">
      <c r="D1639" s="35"/>
    </row>
    <row r="1640" spans="4:4" x14ac:dyDescent="0.25">
      <c r="D1640" s="35"/>
    </row>
    <row r="1641" spans="4:4" x14ac:dyDescent="0.25">
      <c r="D1641" s="35"/>
    </row>
    <row r="1642" spans="4:4" x14ac:dyDescent="0.25">
      <c r="D1642" s="35"/>
    </row>
    <row r="1643" spans="4:4" x14ac:dyDescent="0.25">
      <c r="D1643" s="35"/>
    </row>
    <row r="1644" spans="4:4" x14ac:dyDescent="0.25">
      <c r="D1644" s="35"/>
    </row>
    <row r="1645" spans="4:4" x14ac:dyDescent="0.25">
      <c r="D1645" s="35"/>
    </row>
    <row r="1646" spans="4:4" x14ac:dyDescent="0.25">
      <c r="D1646" s="35"/>
    </row>
    <row r="1647" spans="4:4" x14ac:dyDescent="0.25">
      <c r="D1647" s="35"/>
    </row>
    <row r="1648" spans="4:4" x14ac:dyDescent="0.25">
      <c r="D1648" s="35"/>
    </row>
    <row r="1649" spans="4:4" x14ac:dyDescent="0.25">
      <c r="D1649" s="35"/>
    </row>
    <row r="1650" spans="4:4" x14ac:dyDescent="0.25">
      <c r="D1650" s="35"/>
    </row>
    <row r="1651" spans="4:4" x14ac:dyDescent="0.25">
      <c r="D1651" s="35"/>
    </row>
    <row r="1652" spans="4:4" x14ac:dyDescent="0.25">
      <c r="D1652" s="35"/>
    </row>
    <row r="1653" spans="4:4" x14ac:dyDescent="0.25">
      <c r="D1653" s="35"/>
    </row>
    <row r="1654" spans="4:4" x14ac:dyDescent="0.25">
      <c r="D1654" s="35"/>
    </row>
    <row r="1655" spans="4:4" x14ac:dyDescent="0.25">
      <c r="D1655" s="35"/>
    </row>
    <row r="1656" spans="4:4" x14ac:dyDescent="0.25">
      <c r="D1656" s="35"/>
    </row>
    <row r="1657" spans="4:4" x14ac:dyDescent="0.25">
      <c r="D1657" s="35"/>
    </row>
    <row r="1658" spans="4:4" x14ac:dyDescent="0.25">
      <c r="D1658" s="35"/>
    </row>
    <row r="1659" spans="4:4" x14ac:dyDescent="0.25">
      <c r="D1659" s="35"/>
    </row>
    <row r="1660" spans="4:4" x14ac:dyDescent="0.25">
      <c r="D1660" s="35"/>
    </row>
    <row r="1661" spans="4:4" x14ac:dyDescent="0.25">
      <c r="D1661" s="35"/>
    </row>
    <row r="1662" spans="4:4" x14ac:dyDescent="0.25">
      <c r="D1662" s="35"/>
    </row>
    <row r="1663" spans="4:4" x14ac:dyDescent="0.25">
      <c r="D1663" s="35"/>
    </row>
    <row r="1664" spans="4:4" x14ac:dyDescent="0.25">
      <c r="D1664" s="35"/>
    </row>
    <row r="1665" spans="4:4" x14ac:dyDescent="0.25">
      <c r="D1665" s="35"/>
    </row>
    <row r="1666" spans="4:4" x14ac:dyDescent="0.25">
      <c r="D1666" s="35"/>
    </row>
    <row r="1667" spans="4:4" x14ac:dyDescent="0.25">
      <c r="D1667" s="35"/>
    </row>
    <row r="1668" spans="4:4" x14ac:dyDescent="0.25">
      <c r="D1668" s="35"/>
    </row>
    <row r="1669" spans="4:4" x14ac:dyDescent="0.25">
      <c r="D1669" s="35"/>
    </row>
    <row r="1670" spans="4:4" x14ac:dyDescent="0.25">
      <c r="D1670" s="35"/>
    </row>
    <row r="1671" spans="4:4" x14ac:dyDescent="0.25">
      <c r="D1671" s="35"/>
    </row>
    <row r="1672" spans="4:4" x14ac:dyDescent="0.25">
      <c r="D1672" s="35"/>
    </row>
    <row r="1673" spans="4:4" x14ac:dyDescent="0.25">
      <c r="D1673" s="35"/>
    </row>
    <row r="1674" spans="4:4" x14ac:dyDescent="0.25">
      <c r="D1674" s="35"/>
    </row>
    <row r="1675" spans="4:4" x14ac:dyDescent="0.25">
      <c r="D1675" s="35"/>
    </row>
    <row r="1676" spans="4:4" x14ac:dyDescent="0.25">
      <c r="D1676" s="35"/>
    </row>
    <row r="1677" spans="4:4" x14ac:dyDescent="0.25">
      <c r="D1677" s="35"/>
    </row>
    <row r="1678" spans="4:4" x14ac:dyDescent="0.25">
      <c r="D1678" s="35"/>
    </row>
    <row r="1679" spans="4:4" x14ac:dyDescent="0.25">
      <c r="D1679" s="35"/>
    </row>
    <row r="1680" spans="4:4" x14ac:dyDescent="0.25">
      <c r="D1680" s="35"/>
    </row>
    <row r="1681" spans="4:4" x14ac:dyDescent="0.25">
      <c r="D1681" s="35"/>
    </row>
    <row r="1682" spans="4:4" x14ac:dyDescent="0.25">
      <c r="D1682" s="35"/>
    </row>
    <row r="1683" spans="4:4" x14ac:dyDescent="0.25">
      <c r="D1683" s="35"/>
    </row>
    <row r="1684" spans="4:4" x14ac:dyDescent="0.25">
      <c r="D1684" s="35"/>
    </row>
    <row r="1685" spans="4:4" x14ac:dyDescent="0.25">
      <c r="D1685" s="35"/>
    </row>
    <row r="1686" spans="4:4" x14ac:dyDescent="0.25">
      <c r="D1686" s="35"/>
    </row>
    <row r="1687" spans="4:4" x14ac:dyDescent="0.25">
      <c r="D1687" s="35"/>
    </row>
    <row r="1688" spans="4:4" x14ac:dyDescent="0.25">
      <c r="D1688" s="35"/>
    </row>
    <row r="1689" spans="4:4" x14ac:dyDescent="0.25">
      <c r="D1689" s="35"/>
    </row>
    <row r="1690" spans="4:4" x14ac:dyDescent="0.25">
      <c r="D1690" s="35"/>
    </row>
    <row r="1691" spans="4:4" x14ac:dyDescent="0.25">
      <c r="D1691" s="35"/>
    </row>
    <row r="1692" spans="4:4" x14ac:dyDescent="0.25">
      <c r="D1692" s="35"/>
    </row>
    <row r="1693" spans="4:4" x14ac:dyDescent="0.25">
      <c r="D1693" s="35"/>
    </row>
    <row r="1694" spans="4:4" x14ac:dyDescent="0.25">
      <c r="D1694" s="35"/>
    </row>
    <row r="1695" spans="4:4" x14ac:dyDescent="0.25">
      <c r="D1695" s="35"/>
    </row>
    <row r="1696" spans="4:4" x14ac:dyDescent="0.25">
      <c r="D1696" s="35"/>
    </row>
    <row r="1697" spans="4:4" x14ac:dyDescent="0.25">
      <c r="D1697" s="35"/>
    </row>
    <row r="1698" spans="4:4" x14ac:dyDescent="0.25">
      <c r="D1698" s="35"/>
    </row>
    <row r="1699" spans="4:4" x14ac:dyDescent="0.25">
      <c r="D1699" s="35"/>
    </row>
    <row r="1700" spans="4:4" x14ac:dyDescent="0.25">
      <c r="D1700" s="35"/>
    </row>
    <row r="1701" spans="4:4" x14ac:dyDescent="0.25">
      <c r="D1701" s="35"/>
    </row>
    <row r="1702" spans="4:4" x14ac:dyDescent="0.25">
      <c r="D1702" s="35"/>
    </row>
    <row r="1703" spans="4:4" x14ac:dyDescent="0.25">
      <c r="D1703" s="35"/>
    </row>
    <row r="1704" spans="4:4" x14ac:dyDescent="0.25">
      <c r="D1704" s="35"/>
    </row>
  </sheetData>
  <mergeCells count="13">
    <mergeCell ref="B619:L619"/>
    <mergeCell ref="B680:L680"/>
    <mergeCell ref="B734:L734"/>
    <mergeCell ref="B175:L175"/>
    <mergeCell ref="B228:L228"/>
    <mergeCell ref="B271:L271"/>
    <mergeCell ref="B340:L340"/>
    <mergeCell ref="B421:L421"/>
    <mergeCell ref="A2:B2"/>
    <mergeCell ref="B112:L112"/>
    <mergeCell ref="B4:L4"/>
    <mergeCell ref="B49:L49"/>
    <mergeCell ref="B502:L502"/>
  </mergeCells>
  <dataValidations count="2">
    <dataValidation type="list" allowBlank="1" showInputMessage="1" showErrorMessage="1" sqref="B682:B731 B442:B443 B174 B227 B270 B339 B420 B736:B781 B501 B618 B679 B733 B783:B1048576 B383 B34:B46 B6:B32 B336:B337 B304:B334 B364 B378:B379 B374 B448:B449 B423:B432 B486:B499 B481:B484 B451:B454 B408:B418 B435:B437 B476 B473 B456:B457 B459:B469 B544:B616 B507 B541:B542 B509:B539 B621:B677" xr:uid="{89A27077-A70A-46DE-A93A-0F5FDB045EAB}">
      <formula1>"Efectivo, Cheques BBVA"</formula1>
    </dataValidation>
    <dataValidation type="list" allowBlank="1" showInputMessage="1" showErrorMessage="1" sqref="B51:B109 B114:B172 B177:B225 B230:B265 B267:B268 B33 B273:B303 B342:B363 B380:B382 B384:B407 B365:B373 B375:B377 B485 B470:B472 B444:B447 B482 B455 B438:B441 B458 B607 B474:B475 B477:B480 B450:B453 B433:B436 B553 B540 B543 B504:B510 B512 B583 B547:B550 B572 B563 B565" xr:uid="{B20553D4-E617-4D86-985D-9A4EB115D84C}">
      <formula1>"Efectivo, Cheques BBVA, Financiamiento Santander, Reposicion JC Jr."</formula1>
    </dataValidation>
  </dataValidations>
  <pageMargins left="0.7" right="0.7" top="0.75" bottom="0.75" header="0.3" footer="0.3"/>
  <pageSetup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0D85DA-95C1-44AD-A880-5181C7EDF1F1}">
          <x14:formula1>
            <xm:f>'Tesoreria Overview'!$B$11:$B$92</xm:f>
          </x14:formula1>
          <xm:sqref>J174 J762:J776 J365:J418 J342:J360 J780:J781 J156:J172 J783:J1048576 J134:J147 J733 J676:J677 J679 J618 J501 J708:J731 J420 J339 J270 J227 J778 J362:J363 J423:J499 J624 J752:J756 J736:J746 J682:J684 J51:J109 J114:J123 J125:J126 J267:J268 J151:J154 J128:J132 J177:J225 J230:J265 J34:J46 J6:J32 J273:J302 J336:J337 J304:J334 J541:J546 J549:J550 J552 J506:J539 J610:J616 J598:J606 J554:J595 J667:J674 J657:J663 J687:J706 J626:J655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8D93-75E4-417B-8E6B-EB191AF5511A}">
  <sheetPr>
    <tabColor theme="0" tint="-0.499984740745262"/>
    <pageSetUpPr fitToPage="1"/>
  </sheetPr>
  <dimension ref="B1:O615"/>
  <sheetViews>
    <sheetView showGridLines="0" zoomScale="85" zoomScaleNormal="85" workbookViewId="0">
      <pane ySplit="1" topLeftCell="A2" activePane="bottomLeft" state="frozen"/>
      <selection activeCell="B1" sqref="B1"/>
      <selection pane="bottomLeft" activeCell="I623" sqref="I623"/>
    </sheetView>
  </sheetViews>
  <sheetFormatPr defaultColWidth="10.875" defaultRowHeight="13.5" x14ac:dyDescent="0.25"/>
  <cols>
    <col min="1" max="1" width="3.375" style="1" customWidth="1"/>
    <col min="2" max="2" width="34" style="1" customWidth="1"/>
    <col min="3" max="5" width="18.875" style="1" customWidth="1"/>
    <col min="6" max="6" width="42.125" style="1" bestFit="1" customWidth="1"/>
    <col min="7" max="14" width="18.875" style="1" customWidth="1"/>
    <col min="15" max="15" width="12.625" style="1" bestFit="1" customWidth="1"/>
    <col min="16" max="16" width="3.375" style="1" customWidth="1"/>
    <col min="17" max="17" width="10.875" style="1" customWidth="1"/>
    <col min="18" max="16384" width="10.875" style="1"/>
  </cols>
  <sheetData>
    <row r="1" spans="2:15" ht="50.1" customHeight="1" x14ac:dyDescent="0.25">
      <c r="B1" s="2" t="s">
        <v>20</v>
      </c>
      <c r="J1"/>
      <c r="L1"/>
    </row>
    <row r="2" spans="2:15" s="3" customFormat="1" ht="24.95" customHeight="1" x14ac:dyDescent="0.25">
      <c r="C2" s="54" t="s">
        <v>0</v>
      </c>
      <c r="D2" s="54" t="s">
        <v>55</v>
      </c>
      <c r="E2" s="54" t="s">
        <v>56</v>
      </c>
      <c r="F2" s="54" t="s">
        <v>57</v>
      </c>
      <c r="G2" s="54" t="s">
        <v>1</v>
      </c>
      <c r="H2" s="54" t="s">
        <v>58</v>
      </c>
      <c r="I2" s="54" t="s">
        <v>59</v>
      </c>
      <c r="J2" s="54" t="s">
        <v>2</v>
      </c>
      <c r="K2" s="54" t="s">
        <v>60</v>
      </c>
      <c r="L2" s="54" t="s">
        <v>61</v>
      </c>
      <c r="M2" s="54" t="s">
        <v>62</v>
      </c>
      <c r="N2" s="54" t="s">
        <v>63</v>
      </c>
      <c r="O2" s="4"/>
    </row>
    <row r="3" spans="2:15" s="3" customFormat="1" ht="24.95" customHeight="1" x14ac:dyDescent="0.25">
      <c r="B3" s="3" t="s">
        <v>3</v>
      </c>
      <c r="C3" s="7">
        <v>0</v>
      </c>
      <c r="D3" s="7">
        <f>C7</f>
        <v>0</v>
      </c>
      <c r="E3" s="7">
        <f>D7</f>
        <v>0</v>
      </c>
      <c r="F3" s="7">
        <f t="shared" ref="F3:N3" si="0">E7</f>
        <v>0</v>
      </c>
      <c r="G3" s="7">
        <f t="shared" si="0"/>
        <v>0</v>
      </c>
      <c r="H3" s="7">
        <f t="shared" si="0"/>
        <v>0</v>
      </c>
      <c r="I3" s="7">
        <f t="shared" si="0"/>
        <v>0</v>
      </c>
      <c r="J3" s="7">
        <f t="shared" si="0"/>
        <v>0</v>
      </c>
      <c r="K3" s="7">
        <f t="shared" si="0"/>
        <v>0</v>
      </c>
      <c r="L3" s="7">
        <f t="shared" si="0"/>
        <v>0</v>
      </c>
      <c r="M3" s="7">
        <f t="shared" si="0"/>
        <v>0</v>
      </c>
      <c r="N3" s="7">
        <f t="shared" si="0"/>
        <v>0</v>
      </c>
      <c r="O3" s="4"/>
    </row>
    <row r="4" spans="2:15" s="3" customFormat="1" ht="24.95" customHeight="1" x14ac:dyDescent="0.25">
      <c r="B4" s="3" t="s">
        <v>88</v>
      </c>
      <c r="C4" s="8">
        <f>C22</f>
        <v>0</v>
      </c>
      <c r="D4" s="8">
        <f t="shared" ref="D4:N4" si="1">D22</f>
        <v>0</v>
      </c>
      <c r="E4" s="8">
        <f t="shared" si="1"/>
        <v>0</v>
      </c>
      <c r="F4" s="8">
        <f t="shared" si="1"/>
        <v>0</v>
      </c>
      <c r="G4" s="8">
        <f t="shared" si="1"/>
        <v>0</v>
      </c>
      <c r="H4" s="8">
        <f t="shared" si="1"/>
        <v>0</v>
      </c>
      <c r="I4" s="8">
        <f t="shared" si="1"/>
        <v>0</v>
      </c>
      <c r="J4" s="8">
        <f t="shared" si="1"/>
        <v>0</v>
      </c>
      <c r="K4" s="8">
        <f t="shared" si="1"/>
        <v>0</v>
      </c>
      <c r="L4" s="8">
        <f t="shared" si="1"/>
        <v>0</v>
      </c>
      <c r="M4" s="8">
        <f t="shared" si="1"/>
        <v>0</v>
      </c>
      <c r="N4" s="8">
        <f t="shared" si="1"/>
        <v>0</v>
      </c>
      <c r="O4" s="4"/>
    </row>
    <row r="5" spans="2:15" s="3" customFormat="1" ht="24.95" customHeight="1" x14ac:dyDescent="0.25">
      <c r="B5" s="3" t="s">
        <v>89</v>
      </c>
      <c r="C5" s="8">
        <f>C74</f>
        <v>0</v>
      </c>
      <c r="D5" s="8">
        <f t="shared" ref="D5:N5" si="2">D74</f>
        <v>0</v>
      </c>
      <c r="E5" s="8">
        <f t="shared" si="2"/>
        <v>0</v>
      </c>
      <c r="F5" s="8">
        <f t="shared" si="2"/>
        <v>0</v>
      </c>
      <c r="G5" s="8">
        <f t="shared" si="2"/>
        <v>0</v>
      </c>
      <c r="H5" s="8">
        <f t="shared" si="2"/>
        <v>0</v>
      </c>
      <c r="I5" s="8">
        <f t="shared" si="2"/>
        <v>0</v>
      </c>
      <c r="J5" s="8">
        <f t="shared" si="2"/>
        <v>0</v>
      </c>
      <c r="K5" s="8">
        <f t="shared" si="2"/>
        <v>0</v>
      </c>
      <c r="L5" s="8">
        <f t="shared" si="2"/>
        <v>0</v>
      </c>
      <c r="M5" s="8">
        <f t="shared" si="2"/>
        <v>0</v>
      </c>
      <c r="N5" s="8">
        <f t="shared" si="2"/>
        <v>0</v>
      </c>
      <c r="O5" s="4"/>
    </row>
    <row r="6" spans="2:15" s="3" customFormat="1" ht="24.95" customHeight="1" x14ac:dyDescent="0.25">
      <c r="B6" s="3" t="s">
        <v>5</v>
      </c>
      <c r="C6" s="8">
        <f>C4-C5</f>
        <v>0</v>
      </c>
      <c r="D6" s="8">
        <f t="shared" ref="D6:N6" si="3">D4-D5</f>
        <v>0</v>
      </c>
      <c r="E6" s="8">
        <f t="shared" si="3"/>
        <v>0</v>
      </c>
      <c r="F6" s="8">
        <f t="shared" si="3"/>
        <v>0</v>
      </c>
      <c r="G6" s="8">
        <f t="shared" si="3"/>
        <v>0</v>
      </c>
      <c r="H6" s="8">
        <f t="shared" si="3"/>
        <v>0</v>
      </c>
      <c r="I6" s="8">
        <f t="shared" si="3"/>
        <v>0</v>
      </c>
      <c r="J6" s="8">
        <f t="shared" si="3"/>
        <v>0</v>
      </c>
      <c r="K6" s="8">
        <f t="shared" si="3"/>
        <v>0</v>
      </c>
      <c r="L6" s="8">
        <f t="shared" si="3"/>
        <v>0</v>
      </c>
      <c r="M6" s="8">
        <f t="shared" si="3"/>
        <v>0</v>
      </c>
      <c r="N6" s="8">
        <f t="shared" si="3"/>
        <v>0</v>
      </c>
      <c r="O6" s="4"/>
    </row>
    <row r="7" spans="2:15" s="3" customFormat="1" ht="24.95" customHeight="1" x14ac:dyDescent="0.25">
      <c r="B7" s="3" t="s">
        <v>6</v>
      </c>
      <c r="C7" s="8">
        <f>C4-C5+C3</f>
        <v>0</v>
      </c>
      <c r="D7" s="8">
        <f t="shared" ref="D7:N7" si="4">D4-D5+D3</f>
        <v>0</v>
      </c>
      <c r="E7" s="8">
        <f t="shared" si="4"/>
        <v>0</v>
      </c>
      <c r="F7" s="8">
        <f t="shared" si="4"/>
        <v>0</v>
      </c>
      <c r="G7" s="8">
        <f t="shared" si="4"/>
        <v>0</v>
      </c>
      <c r="H7" s="8">
        <f t="shared" si="4"/>
        <v>0</v>
      </c>
      <c r="I7" s="8">
        <f t="shared" si="4"/>
        <v>0</v>
      </c>
      <c r="J7" s="8">
        <f t="shared" si="4"/>
        <v>0</v>
      </c>
      <c r="K7" s="8">
        <f t="shared" si="4"/>
        <v>0</v>
      </c>
      <c r="L7" s="8">
        <f t="shared" si="4"/>
        <v>0</v>
      </c>
      <c r="M7" s="8">
        <f t="shared" si="4"/>
        <v>0</v>
      </c>
      <c r="N7" s="8">
        <f t="shared" si="4"/>
        <v>0</v>
      </c>
      <c r="O7" s="4"/>
    </row>
    <row r="8" spans="2:15" ht="11.1" customHeight="1" x14ac:dyDescent="0.25"/>
    <row r="9" spans="2:15" s="3" customFormat="1" ht="14.1" customHeight="1" x14ac:dyDescent="0.25">
      <c r="B9" s="13" t="s">
        <v>30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</row>
    <row r="10" spans="2:15" s="3" customFormat="1" ht="14.1" customHeight="1" x14ac:dyDescent="0.25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2:15" s="3" customFormat="1" ht="14.1" customHeight="1" x14ac:dyDescent="0.25">
      <c r="B11" s="9" t="s">
        <v>99</v>
      </c>
      <c r="C11" s="5">
        <f>SUMIF(EneEst2024[CATEGORÍA],$B11,EneEst2024[INGRESO])</f>
        <v>0</v>
      </c>
      <c r="D11" s="5">
        <f>SUMIF(FebEst2024[CATEGORÍA],$B11,FebEst2024[INGRESO])</f>
        <v>0</v>
      </c>
      <c r="E11" s="5">
        <f>SUMIF(MarEst2024[CATEGORÍA],$B11,MarEst2024[INGRESO])</f>
        <v>0</v>
      </c>
      <c r="F11" s="5">
        <f>SUMIF(AbrEst2024[CATEGORÍA],$B11,AbrEst2024[INGRESO])</f>
        <v>0</v>
      </c>
      <c r="G11" s="5">
        <f>SUMIF(MayEst_2024[CATEGORÍA],$B11,MayEst_2024[INGRESO])</f>
        <v>0</v>
      </c>
      <c r="H11" s="5">
        <f>SUMIF(JunEst_2024[CATEGORÍA],$B11,JunEst_2024[INGRESO])</f>
        <v>0</v>
      </c>
      <c r="I11" s="5">
        <f>SUMIF(JulEst_2024[CATEGORÍA],$B11,JulEst_2024[INGRESO])</f>
        <v>0</v>
      </c>
      <c r="J11" s="5">
        <f>SUMIF(AgoEst_2024[CATEGORÍA],$B11,AgoEst_2024[INGRESO])</f>
        <v>0</v>
      </c>
      <c r="K11" s="5">
        <f>SUMIF(SepEst_2024[CATEGORÍA],$B11,SepEst_2024[INGRESO])</f>
        <v>0</v>
      </c>
      <c r="L11" s="5">
        <f>SUMIF(OctEst_2024[CATEGORÍA],$B11,OctEst_2024[INGRESO])</f>
        <v>0</v>
      </c>
      <c r="M11" s="5">
        <f>SUMIF(NovEst_2024[CATEGORÍA],$B11,NovEst_2024[INGRESO])</f>
        <v>0</v>
      </c>
      <c r="N11" s="5">
        <f>SUMIF(DicEst_2024[CATEGORÍA],$B11,DicEst_2024[INGRESO])</f>
        <v>0</v>
      </c>
      <c r="O11" s="12">
        <f>SUM(D11:N11)</f>
        <v>0</v>
      </c>
    </row>
    <row r="12" spans="2:15" s="3" customFormat="1" ht="14.1" customHeight="1" x14ac:dyDescent="0.25">
      <c r="B12" s="9" t="s">
        <v>100</v>
      </c>
      <c r="C12" s="5">
        <f>SUMIF(EneEst2024[CATEGORÍA],$B12,EneEst2024[INGRESO])</f>
        <v>0</v>
      </c>
      <c r="D12" s="5">
        <f>SUMIF(FebEst2024[CATEGORÍA],$B12,FebEst2024[INGRESO])</f>
        <v>0</v>
      </c>
      <c r="E12" s="5">
        <f>SUMIF(MarEst2024[CATEGORÍA],$B12,MarEst2024[INGRESO])</f>
        <v>0</v>
      </c>
      <c r="F12" s="5">
        <f>SUMIF(AbrEst2024[CATEGORÍA],$B12,AbrEst2024[INGRESO])</f>
        <v>0</v>
      </c>
      <c r="G12" s="5">
        <f>SUMIF(MayEst_2024[CATEGORÍA],$B12,MayEst_2024[INGRESO])</f>
        <v>0</v>
      </c>
      <c r="H12" s="5">
        <f>SUMIF(JunEst_2024[CATEGORÍA],$B12,JunEst_2024[INGRESO])</f>
        <v>0</v>
      </c>
      <c r="I12" s="5">
        <f>SUMIF(JulEst_2024[CATEGORÍA],$B12,JulEst_2024[INGRESO])</f>
        <v>0</v>
      </c>
      <c r="J12" s="5">
        <f>SUMIF(AgoEst_2024[CATEGORÍA],$B12,AgoEst_2024[INGRESO])</f>
        <v>0</v>
      </c>
      <c r="K12" s="5">
        <f>SUMIF(SepEst_2024[CATEGORÍA],$B12,SepEst_2024[INGRESO])</f>
        <v>0</v>
      </c>
      <c r="L12" s="5">
        <f>SUMIF(OctEst_2024[CATEGORÍA],$B12,OctEst_2024[INGRESO])</f>
        <v>0</v>
      </c>
      <c r="M12" s="5">
        <f>SUMIF(NovEst_2024[CATEGORÍA],$B12,NovEst_2024[INGRESO])</f>
        <v>0</v>
      </c>
      <c r="N12" s="5">
        <f>SUMIF(DicEst_2024[CATEGORÍA],$B12,DicEst_2024[INGRESO])</f>
        <v>0</v>
      </c>
      <c r="O12" s="12">
        <f t="shared" ref="O12:O13" si="5">SUM(D12:N12)</f>
        <v>0</v>
      </c>
    </row>
    <row r="13" spans="2:15" s="3" customFormat="1" ht="14.1" customHeight="1" x14ac:dyDescent="0.25">
      <c r="B13" s="9" t="s">
        <v>101</v>
      </c>
      <c r="C13" s="5">
        <f>SUMIF(EneEst2024[CATEGORÍA],$B13,EneEst2024[INGRESO])</f>
        <v>0</v>
      </c>
      <c r="D13" s="5">
        <f>SUMIF(FebEst2024[CATEGORÍA],$B13,FebEst2024[INGRESO])</f>
        <v>0</v>
      </c>
      <c r="E13" s="5">
        <f>SUMIF(MarEst2024[CATEGORÍA],$B13,MarEst2024[INGRESO])</f>
        <v>0</v>
      </c>
      <c r="F13" s="5">
        <f>SUMIF(AbrEst2024[CATEGORÍA],$B13,AbrEst2024[INGRESO])</f>
        <v>0</v>
      </c>
      <c r="G13" s="5">
        <f>SUMIF(MayEst_2024[CATEGORÍA],$B13,MayEst_2024[INGRESO])</f>
        <v>0</v>
      </c>
      <c r="H13" s="5">
        <f>SUMIF(JunEst_2024[CATEGORÍA],$B13,JunEst_2024[INGRESO])</f>
        <v>0</v>
      </c>
      <c r="I13" s="5">
        <f>SUMIF(JulEst_2024[CATEGORÍA],$B13,JulEst_2024[INGRESO])</f>
        <v>0</v>
      </c>
      <c r="J13" s="5">
        <f>SUMIF(AgoEst_2024[CATEGORÍA],$B13,AgoEst_2024[INGRESO])</f>
        <v>0</v>
      </c>
      <c r="K13" s="5">
        <f>SUMIF(SepEst_2024[CATEGORÍA],$B13,SepEst_2024[INGRESO])</f>
        <v>0</v>
      </c>
      <c r="L13" s="5">
        <f>SUMIF(OctEst_2024[CATEGORÍA],$B13,OctEst_2024[INGRESO])</f>
        <v>0</v>
      </c>
      <c r="M13" s="5">
        <f>SUMIF(NovEst_2024[CATEGORÍA],$B13,NovEst_2024[INGRESO])</f>
        <v>0</v>
      </c>
      <c r="N13" s="5">
        <f>SUMIF(DicEst_2024[CATEGORÍA],$B13,DicEst_2024[INGRESO])</f>
        <v>0</v>
      </c>
      <c r="O13" s="12">
        <f t="shared" si="5"/>
        <v>0</v>
      </c>
    </row>
    <row r="14" spans="2:15" s="3" customFormat="1" ht="14.1" customHeight="1" x14ac:dyDescent="0.25">
      <c r="B14" s="9" t="s">
        <v>7</v>
      </c>
      <c r="C14" s="5">
        <f>SUMIF(EneEst2024[CATEGORÍA],$B14,EneEst2024[INGRESO])</f>
        <v>0</v>
      </c>
      <c r="D14" s="5">
        <f>SUMIF(FebEst2024[CATEGORÍA],$B14,FebEst2024[INGRESO])</f>
        <v>0</v>
      </c>
      <c r="E14" s="5">
        <f>SUMIF(MarEst2024[CATEGORÍA],$B14,MarEst2024[INGRESO])</f>
        <v>0</v>
      </c>
      <c r="F14" s="5">
        <f>SUMIF(AbrEst2024[CATEGORÍA],$B14,AbrEst2024[INGRESO])</f>
        <v>0</v>
      </c>
      <c r="G14" s="5">
        <f>SUMIF(MayEst_2024[CATEGORÍA],$B14,MayEst_2024[INGRESO])</f>
        <v>0</v>
      </c>
      <c r="H14" s="5">
        <f>SUMIF(JunEst_2024[CATEGORÍA],$B14,JunEst_2024[INGRESO])</f>
        <v>0</v>
      </c>
      <c r="I14" s="5">
        <f>SUMIF(JulEst_2024[CATEGORÍA],$B14,JulEst_2024[INGRESO])</f>
        <v>0</v>
      </c>
      <c r="J14" s="5">
        <f>SUMIF(AgoEst_2024[CATEGORÍA],$B14,AgoEst_2024[INGRESO])</f>
        <v>0</v>
      </c>
      <c r="K14" s="5">
        <f>SUMIF(SepEst_2024[CATEGORÍA],$B14,SepEst_2024[INGRESO])</f>
        <v>0</v>
      </c>
      <c r="L14" s="5">
        <f>SUMIF(OctEst_2024[CATEGORÍA],$B14,OctEst_2024[INGRESO])</f>
        <v>0</v>
      </c>
      <c r="M14" s="5">
        <f>SUMIF(NovEst_2024[CATEGORÍA],$B14,NovEst_2024[INGRESO])</f>
        <v>0</v>
      </c>
      <c r="N14" s="5">
        <f>SUMIF(DicEst_2024[CATEGORÍA],$B14,DicEst_2024[INGRESO])</f>
        <v>0</v>
      </c>
      <c r="O14" s="12">
        <f t="shared" ref="O14:O20" si="6">SUM(D14:N14)</f>
        <v>0</v>
      </c>
    </row>
    <row r="15" spans="2:15" s="3" customFormat="1" ht="14.1" customHeight="1" x14ac:dyDescent="0.25">
      <c r="B15" s="9" t="s">
        <v>86</v>
      </c>
      <c r="C15" s="5">
        <f>SUMIF(EneEst2024[CATEGORÍA],$B15,EneEst2024[INGRESO])</f>
        <v>0</v>
      </c>
      <c r="D15" s="5">
        <f>SUMIF(FebEst2024[CATEGORÍA],$B15,FebEst2024[INGRESO])</f>
        <v>0</v>
      </c>
      <c r="E15" s="5">
        <f>SUMIF(MarEst2024[CATEGORÍA],$B15,MarEst2024[INGRESO])</f>
        <v>0</v>
      </c>
      <c r="F15" s="5">
        <f>SUMIF(AbrEst2024[CATEGORÍA],$B15,AbrEst2024[INGRESO])</f>
        <v>0</v>
      </c>
      <c r="G15" s="5">
        <f>SUMIF(MayEst_2024[CATEGORÍA],$B15,MayEst_2024[INGRESO])</f>
        <v>0</v>
      </c>
      <c r="H15" s="5">
        <f>SUMIF(JunEst_2024[CATEGORÍA],$B15,JunEst_2024[INGRESO])</f>
        <v>0</v>
      </c>
      <c r="I15" s="5">
        <f>SUMIF(JulEst_2024[CATEGORÍA],$B15,JulEst_2024[INGRESO])</f>
        <v>0</v>
      </c>
      <c r="J15" s="5">
        <f>SUMIF(AgoEst_2024[CATEGORÍA],$B15,AgoEst_2024[INGRESO])</f>
        <v>0</v>
      </c>
      <c r="K15" s="5">
        <f>SUMIF(SepEst_2024[CATEGORÍA],$B15,SepEst_2024[INGRESO])</f>
        <v>0</v>
      </c>
      <c r="L15" s="5">
        <f>SUMIF(OctEst_2024[CATEGORÍA],$B15,OctEst_2024[INGRESO])</f>
        <v>0</v>
      </c>
      <c r="M15" s="5">
        <f>SUMIF(NovEst_2024[CATEGORÍA],$B15,NovEst_2024[INGRESO])</f>
        <v>0</v>
      </c>
      <c r="N15" s="5">
        <f>SUMIF(DicEst_2024[CATEGORÍA],$B15,DicEst_2024[INGRESO])</f>
        <v>0</v>
      </c>
      <c r="O15" s="12">
        <f t="shared" si="6"/>
        <v>0</v>
      </c>
    </row>
    <row r="16" spans="2:15" s="3" customFormat="1" ht="14.1" customHeight="1" x14ac:dyDescent="0.25">
      <c r="B16" s="9" t="s">
        <v>84</v>
      </c>
      <c r="C16" s="5">
        <f>SUMIF(EneEst2024[CATEGORÍA],$B16,EneEst2024[INGRESO])</f>
        <v>0</v>
      </c>
      <c r="D16" s="5">
        <f>SUMIF(FebEst2024[CATEGORÍA],$B16,FebEst2024[INGRESO])</f>
        <v>0</v>
      </c>
      <c r="E16" s="5">
        <f>SUMIF(MarEst2024[CATEGORÍA],$B16,MarEst2024[INGRESO])</f>
        <v>0</v>
      </c>
      <c r="F16" s="5">
        <f>SUMIF(AbrEst2024[CATEGORÍA],$B16,AbrEst2024[INGRESO])</f>
        <v>0</v>
      </c>
      <c r="G16" s="5">
        <f>SUMIF(MayEst_2024[CATEGORÍA],$B16,MayEst_2024[INGRESO])</f>
        <v>0</v>
      </c>
      <c r="H16" s="5">
        <f>SUMIF(JunEst_2024[CATEGORÍA],$B16,JunEst_2024[INGRESO])</f>
        <v>0</v>
      </c>
      <c r="I16" s="5">
        <f>SUMIF(JulEst_2024[CATEGORÍA],$B16,JulEst_2024[INGRESO])</f>
        <v>0</v>
      </c>
      <c r="J16" s="5">
        <f>SUMIF(AgoEst_2024[CATEGORÍA],$B16,AgoEst_2024[INGRESO])</f>
        <v>0</v>
      </c>
      <c r="K16" s="5">
        <f>SUMIF(SepEst_2024[CATEGORÍA],$B16,SepEst_2024[INGRESO])</f>
        <v>0</v>
      </c>
      <c r="L16" s="5">
        <f>SUMIF(OctEst_2024[CATEGORÍA],$B16,OctEst_2024[INGRESO])</f>
        <v>0</v>
      </c>
      <c r="M16" s="5">
        <f>SUMIF(NovEst_2024[CATEGORÍA],$B16,NovEst_2024[INGRESO])</f>
        <v>0</v>
      </c>
      <c r="N16" s="5">
        <f>SUMIF(DicEst_2024[CATEGORÍA],$B16,DicEst_2024[INGRESO])</f>
        <v>0</v>
      </c>
      <c r="O16" s="12">
        <f t="shared" si="6"/>
        <v>0</v>
      </c>
    </row>
    <row r="17" spans="2:15" s="3" customFormat="1" ht="14.1" customHeight="1" x14ac:dyDescent="0.25">
      <c r="B17" s="9" t="s">
        <v>21</v>
      </c>
      <c r="C17" s="5">
        <f>SUMIF(EneEst2024[CATEGORÍA],$B17,EneEst2024[INGRESO])</f>
        <v>0</v>
      </c>
      <c r="D17" s="5">
        <f>SUMIF(FebEst2024[CATEGORÍA],$B17,FebEst2024[INGRESO])</f>
        <v>0</v>
      </c>
      <c r="E17" s="5">
        <f>SUMIF(MarEst2024[CATEGORÍA],$B17,MarEst2024[INGRESO])</f>
        <v>0</v>
      </c>
      <c r="F17" s="5">
        <f>SUMIF(AbrEst2024[CATEGORÍA],$B17,AbrEst2024[INGRESO])</f>
        <v>0</v>
      </c>
      <c r="G17" s="5">
        <f>SUMIF(MayEst_2024[CATEGORÍA],$B17,MayEst_2024[INGRESO])</f>
        <v>0</v>
      </c>
      <c r="H17" s="5">
        <f>SUMIF(JunEst_2024[CATEGORÍA],$B17,JunEst_2024[INGRESO])</f>
        <v>0</v>
      </c>
      <c r="I17" s="5">
        <f>SUMIF(JulEst_2024[CATEGORÍA],$B17,JulEst_2024[INGRESO])</f>
        <v>0</v>
      </c>
      <c r="J17" s="5">
        <f>SUMIF(AgoEst_2024[CATEGORÍA],$B17,AgoEst_2024[INGRESO])</f>
        <v>0</v>
      </c>
      <c r="K17" s="5">
        <f>SUMIF(SepEst_2024[CATEGORÍA],$B17,SepEst_2024[INGRESO])</f>
        <v>0</v>
      </c>
      <c r="L17" s="5">
        <f>SUMIF(OctEst_2024[CATEGORÍA],$B17,OctEst_2024[INGRESO])</f>
        <v>0</v>
      </c>
      <c r="M17" s="5">
        <f>SUMIF(NovEst_2024[CATEGORÍA],$B17,NovEst_2024[INGRESO])</f>
        <v>0</v>
      </c>
      <c r="N17" s="5">
        <f>SUMIF(DicEst_2024[CATEGORÍA],$B17,DicEst_2024[INGRESO])</f>
        <v>0</v>
      </c>
      <c r="O17" s="12">
        <f t="shared" si="6"/>
        <v>0</v>
      </c>
    </row>
    <row r="18" spans="2:15" s="3" customFormat="1" ht="14.1" customHeight="1" x14ac:dyDescent="0.25">
      <c r="B18" s="9" t="s">
        <v>39</v>
      </c>
      <c r="C18" s="5">
        <f>SUMIF(EneEst2024[CATEGORÍA],$B18,EneEst2024[INGRESO])</f>
        <v>0</v>
      </c>
      <c r="D18" s="5">
        <f>SUMIF(FebEst2024[CATEGORÍA],$B18,FebEst2024[INGRESO])</f>
        <v>0</v>
      </c>
      <c r="E18" s="5">
        <f>SUMIF(MarEst2024[CATEGORÍA],$B18,MarEst2024[INGRESO])</f>
        <v>0</v>
      </c>
      <c r="F18" s="5">
        <f>SUMIF(AbrEst2024[CATEGORÍA],$B18,AbrEst2024[INGRESO])</f>
        <v>0</v>
      </c>
      <c r="G18" s="5">
        <f>SUMIF(MayEst_2024[CATEGORÍA],$B18,MayEst_2024[INGRESO])</f>
        <v>0</v>
      </c>
      <c r="H18" s="5">
        <f>SUMIF(JunEst_2024[CATEGORÍA],$B18,JunEst_2024[INGRESO])</f>
        <v>0</v>
      </c>
      <c r="I18" s="5">
        <f>SUMIF(JulEst_2024[CATEGORÍA],$B18,JulEst_2024[INGRESO])</f>
        <v>0</v>
      </c>
      <c r="J18" s="5">
        <f>SUMIF(AgoEst_2024[CATEGORÍA],$B18,AgoEst_2024[INGRESO])</f>
        <v>0</v>
      </c>
      <c r="K18" s="5">
        <f>SUMIF(SepEst_2024[CATEGORÍA],$B18,SepEst_2024[INGRESO])</f>
        <v>0</v>
      </c>
      <c r="L18" s="5">
        <f>SUMIF(OctEst_2024[CATEGORÍA],$B18,OctEst_2024[INGRESO])</f>
        <v>0</v>
      </c>
      <c r="M18" s="5">
        <f>SUMIF(NovEst_2024[CATEGORÍA],$B18,NovEst_2024[INGRESO])</f>
        <v>0</v>
      </c>
      <c r="N18" s="5">
        <f>SUMIF(DicEst_2024[CATEGORÍA],$B18,DicEst_2024[INGRESO])</f>
        <v>0</v>
      </c>
      <c r="O18" s="12">
        <f t="shared" si="6"/>
        <v>0</v>
      </c>
    </row>
    <row r="19" spans="2:15" s="3" customFormat="1" ht="14.1" customHeight="1" x14ac:dyDescent="0.25">
      <c r="B19" s="9" t="s">
        <v>72</v>
      </c>
      <c r="C19" s="5">
        <f>SUMIF(EneEst2024[CATEGORÍA],$B19,EneEst2024[INGRESO])</f>
        <v>0</v>
      </c>
      <c r="D19" s="5">
        <f>SUMIF(FebEst2024[CATEGORÍA],$B19,FebEst2024[INGRESO])</f>
        <v>0</v>
      </c>
      <c r="E19" s="5">
        <f>SUMIF(MarEst2024[CATEGORÍA],$B19,MarEst2024[INGRESO])</f>
        <v>0</v>
      </c>
      <c r="F19" s="5">
        <f>SUMIF(AbrEst2024[CATEGORÍA],$B19,AbrEst2024[INGRESO])</f>
        <v>0</v>
      </c>
      <c r="G19" s="5">
        <f>SUMIF(MayEst_2024[CATEGORÍA],$B19,MayEst_2024[INGRESO])</f>
        <v>0</v>
      </c>
      <c r="H19" s="5">
        <f>SUMIF(JunEst_2024[CATEGORÍA],$B19,JunEst_2024[INGRESO])</f>
        <v>0</v>
      </c>
      <c r="I19" s="5">
        <f>SUMIF(JulEst_2024[CATEGORÍA],$B19,JulEst_2024[INGRESO])</f>
        <v>0</v>
      </c>
      <c r="J19" s="5">
        <f>SUMIF(AgoEst_2024[CATEGORÍA],$B19,AgoEst_2024[INGRESO])</f>
        <v>0</v>
      </c>
      <c r="K19" s="5">
        <f>SUMIF(SepEst_2024[CATEGORÍA],$B19,SepEst_2024[INGRESO])</f>
        <v>0</v>
      </c>
      <c r="L19" s="5">
        <f>SUMIF(OctEst_2024[CATEGORÍA],$B19,OctEst_2024[INGRESO])</f>
        <v>0</v>
      </c>
      <c r="M19" s="5">
        <f>SUMIF(NovEst_2024[CATEGORÍA],$B19,NovEst_2024[INGRESO])</f>
        <v>0</v>
      </c>
      <c r="N19" s="5">
        <f>SUMIF(DicEst_2024[CATEGORÍA],$B19,DicEst_2024[INGRESO])</f>
        <v>0</v>
      </c>
      <c r="O19" s="12">
        <f t="shared" si="6"/>
        <v>0</v>
      </c>
    </row>
    <row r="20" spans="2:15" s="3" customFormat="1" ht="14.1" customHeight="1" x14ac:dyDescent="0.25">
      <c r="B20" s="9" t="s">
        <v>40</v>
      </c>
      <c r="C20" s="5">
        <f>SUMIF(EneEst2024[CATEGORÍA],$B20,EneEst2024[INGRESO])</f>
        <v>0</v>
      </c>
      <c r="D20" s="5">
        <f>SUMIF(FebEst2024[CATEGORÍA],$B20,FebEst2024[INGRESO])</f>
        <v>0</v>
      </c>
      <c r="E20" s="5">
        <f>SUMIF(MarEst2024[CATEGORÍA],$B20,MarEst2024[INGRESO])</f>
        <v>0</v>
      </c>
      <c r="F20" s="5">
        <f>SUMIF(AbrEst2024[CATEGORÍA],$B20,AbrEst2024[INGRESO])</f>
        <v>0</v>
      </c>
      <c r="G20" s="5">
        <f>SUMIF(MayEst_2024[CATEGORÍA],$B20,MayEst_2024[INGRESO])</f>
        <v>0</v>
      </c>
      <c r="H20" s="5">
        <f>SUMIF(JunEst_2024[CATEGORÍA],$B20,JunEst_2024[INGRESO])</f>
        <v>0</v>
      </c>
      <c r="I20" s="5">
        <f>SUMIF(JulEst_2024[CATEGORÍA],$B20,JulEst_2024[INGRESO])</f>
        <v>0</v>
      </c>
      <c r="J20" s="5">
        <f>SUMIF(AgoEst_2024[CATEGORÍA],$B20,AgoEst_2024[INGRESO])</f>
        <v>0</v>
      </c>
      <c r="K20" s="5">
        <f>SUMIF(SepEst_2024[CATEGORÍA],$B20,SepEst_2024[INGRESO])</f>
        <v>0</v>
      </c>
      <c r="L20" s="5">
        <f>SUMIF(OctEst_2024[CATEGORÍA],$B20,OctEst_2024[INGRESO])</f>
        <v>0</v>
      </c>
      <c r="M20" s="5">
        <f>SUMIF(NovEst_2024[CATEGORÍA],$B20,NovEst_2024[INGRESO])</f>
        <v>0</v>
      </c>
      <c r="N20" s="5">
        <f>SUMIF(DicEst_2024[CATEGORÍA],$B20,DicEst_2024[INGRESO])</f>
        <v>0</v>
      </c>
      <c r="O20" s="12">
        <f t="shared" si="6"/>
        <v>0</v>
      </c>
    </row>
    <row r="21" spans="2:15" s="3" customFormat="1" ht="14.1" customHeight="1" x14ac:dyDescent="0.25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2:15" s="3" customFormat="1" ht="14.1" customHeight="1" x14ac:dyDescent="0.25">
      <c r="B22" s="16" t="s">
        <v>8</v>
      </c>
      <c r="C22" s="17">
        <f t="shared" ref="C22:O22" si="7">SUM(C11:C20)</f>
        <v>0</v>
      </c>
      <c r="D22" s="17">
        <f t="shared" si="7"/>
        <v>0</v>
      </c>
      <c r="E22" s="17">
        <f t="shared" si="7"/>
        <v>0</v>
      </c>
      <c r="F22" s="17">
        <f t="shared" si="7"/>
        <v>0</v>
      </c>
      <c r="G22" s="17">
        <f t="shared" si="7"/>
        <v>0</v>
      </c>
      <c r="H22" s="17">
        <f t="shared" si="7"/>
        <v>0</v>
      </c>
      <c r="I22" s="17">
        <f t="shared" si="7"/>
        <v>0</v>
      </c>
      <c r="J22" s="17">
        <f t="shared" si="7"/>
        <v>0</v>
      </c>
      <c r="K22" s="17">
        <f t="shared" si="7"/>
        <v>0</v>
      </c>
      <c r="L22" s="17">
        <f t="shared" si="7"/>
        <v>0</v>
      </c>
      <c r="M22" s="17">
        <f t="shared" si="7"/>
        <v>0</v>
      </c>
      <c r="N22" s="17">
        <f t="shared" si="7"/>
        <v>0</v>
      </c>
      <c r="O22" s="17">
        <f t="shared" si="7"/>
        <v>0</v>
      </c>
    </row>
    <row r="23" spans="2:15" ht="11.1" customHeight="1" x14ac:dyDescent="0.25"/>
    <row r="24" spans="2:15" s="3" customFormat="1" ht="14.1" customHeight="1" x14ac:dyDescent="0.25">
      <c r="B24" s="13" t="s">
        <v>29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</row>
    <row r="25" spans="2:15" s="3" customFormat="1" ht="14.1" customHeight="1" x14ac:dyDescent="0.25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2:15" s="3" customFormat="1" ht="14.1" customHeight="1" x14ac:dyDescent="0.25">
      <c r="B26" s="9" t="s">
        <v>41</v>
      </c>
      <c r="C26" s="5">
        <f>SUMIF(EneEst2024[CATEGORÍA],$B26,EneEst2024[INGRESO])</f>
        <v>0</v>
      </c>
      <c r="D26" s="5">
        <f>SUMIF(FebEst2024[CATEGORÍA],$B26,FebEst2024[INGRESO])</f>
        <v>0</v>
      </c>
      <c r="E26" s="5">
        <f>SUMIF(MarEst2024[CATEGORÍA],$B26,MarEst2024[INGRESO])</f>
        <v>0</v>
      </c>
      <c r="F26" s="5">
        <f>SUMIF(AbrEst2024[CATEGORÍA],$B26,AbrEst2024[INGRESO])</f>
        <v>0</v>
      </c>
      <c r="G26" s="5">
        <f>SUMIF(MayEst_2024[CATEGORÍA],$B26,MayEst_2024[INGRESO])</f>
        <v>0</v>
      </c>
      <c r="H26" s="5">
        <f>SUMIF(JunEst_2024[CATEGORÍA],$B26,JunEst_2024[INGRESO])</f>
        <v>0</v>
      </c>
      <c r="I26" s="5">
        <f>SUMIF(JulEst_2024[CATEGORÍA],$B26,JulEst_2024[INGRESO])</f>
        <v>0</v>
      </c>
      <c r="J26" s="5">
        <f>SUMIF(AgoEst_2024[CATEGORÍA],$B26,AgoEst_2024[INGRESO])</f>
        <v>0</v>
      </c>
      <c r="K26" s="5">
        <f>SUMIF(SepEst_2024[CATEGORÍA],$B26,SepEst_2024[INGRESO])</f>
        <v>0</v>
      </c>
      <c r="L26" s="5">
        <f>SUMIF(OctEst_2024[CATEGORÍA],$B26,OctEst_2024[INGRESO])</f>
        <v>0</v>
      </c>
      <c r="M26" s="5">
        <f>SUMIF(NovEst_2024[CATEGORÍA],$B26,NovEst_2024[INGRESO])</f>
        <v>0</v>
      </c>
      <c r="N26" s="5">
        <f>SUMIF(DicEst_2024[CATEGORÍA],$B26,DicEst_2024[INGRESO])</f>
        <v>0</v>
      </c>
      <c r="O26" s="12">
        <f>SUM(D26:N26)</f>
        <v>0</v>
      </c>
    </row>
    <row r="27" spans="2:15" s="3" customFormat="1" ht="14.1" customHeight="1" x14ac:dyDescent="0.25">
      <c r="B27" s="9" t="s">
        <v>42</v>
      </c>
      <c r="C27" s="5">
        <f>C37</f>
        <v>0</v>
      </c>
      <c r="D27" s="5">
        <f>C27+D37</f>
        <v>0</v>
      </c>
      <c r="E27" s="5">
        <f t="shared" ref="E27:N27" si="8">D27+E37</f>
        <v>0</v>
      </c>
      <c r="F27" s="5">
        <f t="shared" si="8"/>
        <v>0</v>
      </c>
      <c r="G27" s="5">
        <f t="shared" si="8"/>
        <v>0</v>
      </c>
      <c r="H27" s="5">
        <f t="shared" si="8"/>
        <v>0</v>
      </c>
      <c r="I27" s="5">
        <f t="shared" si="8"/>
        <v>0</v>
      </c>
      <c r="J27" s="5">
        <f t="shared" si="8"/>
        <v>0</v>
      </c>
      <c r="K27" s="5">
        <f t="shared" si="8"/>
        <v>0</v>
      </c>
      <c r="L27" s="5">
        <f t="shared" si="8"/>
        <v>0</v>
      </c>
      <c r="M27" s="5">
        <f t="shared" si="8"/>
        <v>0</v>
      </c>
      <c r="N27" s="5">
        <f t="shared" si="8"/>
        <v>0</v>
      </c>
      <c r="O27" s="12">
        <f>SUM(D27:N27)</f>
        <v>0</v>
      </c>
    </row>
    <row r="28" spans="2:15" s="3" customFormat="1" ht="14.1" customHeight="1" x14ac:dyDescent="0.25">
      <c r="B28" s="9" t="s">
        <v>43</v>
      </c>
      <c r="C28" s="5">
        <f>SUMIF(EneEst2024[CATEGORÍA],$B28,EneEst2024[INGRESO])</f>
        <v>0</v>
      </c>
      <c r="D28" s="5">
        <f>SUMIF(FebEst2024[CATEGORÍA],$B28,FebEst2024[INGRESO])</f>
        <v>0</v>
      </c>
      <c r="E28" s="5">
        <f>SUMIF(MarEst2024[CATEGORÍA],$B28,MarEst2024[INGRESO])</f>
        <v>0</v>
      </c>
      <c r="F28" s="5">
        <f>SUMIF(AbrEst2024[CATEGORÍA],$B28,AbrEst2024[INGRESO])</f>
        <v>0</v>
      </c>
      <c r="G28" s="5">
        <f>SUMIF(MayEst_2024[CATEGORÍA],$B28,MayEst_2024[INGRESO])</f>
        <v>0</v>
      </c>
      <c r="H28" s="5">
        <f>SUMIF(JunEst_2024[CATEGORÍA],$B28,JunEst_2024[INGRESO])</f>
        <v>0</v>
      </c>
      <c r="I28" s="5">
        <f>SUMIF(JulEst_2024[CATEGORÍA],$B28,JulEst_2024[INGRESO])</f>
        <v>0</v>
      </c>
      <c r="J28" s="5">
        <f>SUMIF(AgoEst_2024[CATEGORÍA],$B28,AgoEst_2024[INGRESO])</f>
        <v>0</v>
      </c>
      <c r="K28" s="5">
        <f>SUMIF(SepEst_2024[CATEGORÍA],$B28,SepEst_2024[INGRESO])</f>
        <v>0</v>
      </c>
      <c r="L28" s="5">
        <f>SUMIF(OctEst_2024[CATEGORÍA],$B28,OctEst_2024[INGRESO])</f>
        <v>0</v>
      </c>
      <c r="M28" s="5">
        <f>SUMIF(NovEst_2024[CATEGORÍA],$B28,NovEst_2024[INGRESO])</f>
        <v>0</v>
      </c>
      <c r="N28" s="5">
        <f>SUMIF(DicEst_2024[CATEGORÍA],$B28,DicEst_2024[INGRESO])</f>
        <v>0</v>
      </c>
      <c r="O28" s="12">
        <f>SUM(D28:N28)</f>
        <v>0</v>
      </c>
    </row>
    <row r="29" spans="2:15" s="3" customFormat="1" ht="14.1" customHeight="1" x14ac:dyDescent="0.25">
      <c r="B29" s="9" t="s">
        <v>9</v>
      </c>
      <c r="C29" s="5">
        <f>SUMIF(EneEst2024[CATEGORÍA],$B29,EneEst2024[INGRESO])</f>
        <v>0</v>
      </c>
      <c r="D29" s="5">
        <f>SUMIF(FebEst2024[CATEGORÍA],$B29,FebEst2024[INGRESO])</f>
        <v>0</v>
      </c>
      <c r="E29" s="5">
        <f>SUMIF(MarEst2024[CATEGORÍA],$B29,MarEst2024[INGRESO])</f>
        <v>0</v>
      </c>
      <c r="F29" s="5">
        <f>SUMIF(AbrEst2024[CATEGORÍA],$B29,AbrEst2024[INGRESO])</f>
        <v>0</v>
      </c>
      <c r="G29" s="5">
        <f>SUMIF(MayEst_2024[CATEGORÍA],$B29,MayEst_2024[INGRESO])</f>
        <v>0</v>
      </c>
      <c r="H29" s="5">
        <f>SUMIF(JunEst_2024[CATEGORÍA],$B29,JunEst_2024[INGRESO])</f>
        <v>0</v>
      </c>
      <c r="I29" s="5">
        <f>SUMIF(JulEst_2024[CATEGORÍA],$B29,JulEst_2024[INGRESO])</f>
        <v>0</v>
      </c>
      <c r="J29" s="5">
        <f>SUMIF(AgoEst_2024[CATEGORÍA],$B29,AgoEst_2024[INGRESO])</f>
        <v>0</v>
      </c>
      <c r="K29" s="5">
        <f>SUMIF(SepEst_2024[CATEGORÍA],$B29,SepEst_2024[INGRESO])</f>
        <v>0</v>
      </c>
      <c r="L29" s="5">
        <f>SUMIF(OctEst_2024[CATEGORÍA],$B29,OctEst_2024[INGRESO])</f>
        <v>0</v>
      </c>
      <c r="M29" s="5">
        <f>SUMIF(NovEst_2024[CATEGORÍA],$B29,NovEst_2024[INGRESO])</f>
        <v>0</v>
      </c>
      <c r="N29" s="5">
        <f>SUMIF(DicEst_2024[CATEGORÍA],$B29,DicEst_2024[INGRESO])</f>
        <v>0</v>
      </c>
      <c r="O29" s="12">
        <f>SUM(D29:N29)</f>
        <v>0</v>
      </c>
    </row>
    <row r="30" spans="2:15" s="3" customFormat="1" ht="14.1" customHeight="1" x14ac:dyDescent="0.25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</row>
    <row r="31" spans="2:15" s="3" customFormat="1" ht="14.1" customHeight="1" x14ac:dyDescent="0.25">
      <c r="B31" s="16" t="s">
        <v>8</v>
      </c>
      <c r="C31" s="17">
        <f>SUM(C26:C29)</f>
        <v>0</v>
      </c>
      <c r="D31" s="17">
        <f t="shared" ref="D31:O31" si="9">SUM(D26:D29)</f>
        <v>0</v>
      </c>
      <c r="E31" s="17">
        <f>SUM(E26:E29)</f>
        <v>0</v>
      </c>
      <c r="F31" s="17">
        <f t="shared" si="9"/>
        <v>0</v>
      </c>
      <c r="G31" s="17">
        <f t="shared" si="9"/>
        <v>0</v>
      </c>
      <c r="H31" s="17">
        <f t="shared" si="9"/>
        <v>0</v>
      </c>
      <c r="I31" s="17">
        <f t="shared" si="9"/>
        <v>0</v>
      </c>
      <c r="J31" s="17">
        <f t="shared" si="9"/>
        <v>0</v>
      </c>
      <c r="K31" s="17">
        <f t="shared" si="9"/>
        <v>0</v>
      </c>
      <c r="L31" s="17">
        <f t="shared" si="9"/>
        <v>0</v>
      </c>
      <c r="M31" s="17">
        <f t="shared" si="9"/>
        <v>0</v>
      </c>
      <c r="N31" s="17">
        <f t="shared" si="9"/>
        <v>0</v>
      </c>
      <c r="O31" s="17">
        <f t="shared" si="9"/>
        <v>0</v>
      </c>
    </row>
    <row r="32" spans="2:15" ht="11.1" customHeight="1" x14ac:dyDescent="0.25"/>
    <row r="33" spans="2:15" s="3" customFormat="1" ht="14.1" customHeight="1" x14ac:dyDescent="0.25">
      <c r="B33" s="13" t="s">
        <v>28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3"/>
    </row>
    <row r="34" spans="2:15" s="3" customFormat="1" ht="14.1" customHeight="1" x14ac:dyDescent="0.25">
      <c r="B34" s="18" t="s">
        <v>31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/>
    </row>
    <row r="35" spans="2:15" s="3" customFormat="1" ht="14.1" customHeight="1" x14ac:dyDescent="0.25">
      <c r="B35" s="9" t="s">
        <v>65</v>
      </c>
      <c r="C35" s="5">
        <f>SUMIF(EneEst2024[CATEGORÍA],$B35,EneEst2024[EGRESO])</f>
        <v>0</v>
      </c>
      <c r="D35" s="5">
        <f>SUMIF(FebEst2024[CATEGORÍA],$B35,FebEst2024[EGRESO])</f>
        <v>0</v>
      </c>
      <c r="E35" s="5">
        <f>SUMIF(MarEst2024[CATEGORÍA],$B35,MarEst2024[EGRESO])</f>
        <v>0</v>
      </c>
      <c r="F35" s="5">
        <f>SUMIF(AbrEst2024[CATEGORÍA],$B35,AbrEst2024[EGRESO])</f>
        <v>0</v>
      </c>
      <c r="G35" s="5">
        <f>SUMIF(MayEst_2024[CATEGORÍA],$B35,MayEst_2024[EGRESO])</f>
        <v>0</v>
      </c>
      <c r="H35" s="5">
        <f>SUMIF(JunEst_2024[CATEGORÍA],$B35,JunEst_2024[EGRESO])</f>
        <v>0</v>
      </c>
      <c r="I35" s="5">
        <f>SUMIF(JulEst_2024[CATEGORÍA],$B35,JulEst_2024[EGRESO])</f>
        <v>0</v>
      </c>
      <c r="J35" s="5">
        <f>SUMIF(AgoEst_2024[CATEGORÍA],$B35,AgoEst_2024[EGRESO])</f>
        <v>0</v>
      </c>
      <c r="K35" s="5">
        <f>SUMIF(SepEst_2024[CATEGORÍA],$B35,SepEst_2024[EGRESO])</f>
        <v>0</v>
      </c>
      <c r="L35" s="5">
        <f>SUMIF(OctEst_2024[CATEGORÍA],$B35,OctEst_2024[EGRESO])</f>
        <v>0</v>
      </c>
      <c r="M35" s="5">
        <f>SUMIF(NovEst_2024[CATEGORÍA],$B35,NovEst_2024[EGRESO])</f>
        <v>0</v>
      </c>
      <c r="N35" s="5">
        <f>SUMIF(DicEst_2024[CATEGORÍA],$B35,DicEst_2024[EGRESO])</f>
        <v>0</v>
      </c>
      <c r="O35" s="12">
        <f>SUM(D35:N35)</f>
        <v>0</v>
      </c>
    </row>
    <row r="36" spans="2:15" s="3" customFormat="1" ht="14.1" customHeight="1" x14ac:dyDescent="0.25">
      <c r="B36" s="9" t="s">
        <v>46</v>
      </c>
      <c r="C36" s="5">
        <f>SUMIF(EneEst2024[CATEGORÍA],$B36,EneEst2024[EGRESO])</f>
        <v>0</v>
      </c>
      <c r="D36" s="5">
        <f>SUMIF(FebEst2024[CATEGORÍA],$B36,FebEst2024[EGRESO])</f>
        <v>0</v>
      </c>
      <c r="E36" s="5">
        <f>SUMIF(MarEst2024[CATEGORÍA],$B36,MarEst2024[EGRESO])</f>
        <v>0</v>
      </c>
      <c r="F36" s="5">
        <f>SUMIF(AbrEst2024[CATEGORÍA],$B36,AbrEst2024[EGRESO])</f>
        <v>0</v>
      </c>
      <c r="G36" s="5">
        <f>SUMIF(MayEst_2024[CATEGORÍA],$B36,MayEst_2024[EGRESO])</f>
        <v>0</v>
      </c>
      <c r="H36" s="5">
        <f>SUMIF(JunEst_2024[CATEGORÍA],$B36,JunEst_2024[EGRESO])</f>
        <v>0</v>
      </c>
      <c r="I36" s="5">
        <f>SUMIF(JulEst_2024[CATEGORÍA],$B36,JulEst_2024[EGRESO])</f>
        <v>0</v>
      </c>
      <c r="J36" s="5">
        <f>SUMIF(AgoEst_2024[CATEGORÍA],$B36,AgoEst_2024[EGRESO])</f>
        <v>0</v>
      </c>
      <c r="K36" s="5">
        <f>SUMIF(SepEst_2024[CATEGORÍA],$B36,SepEst_2024[EGRESO])</f>
        <v>0</v>
      </c>
      <c r="L36" s="5">
        <f>SUMIF(OctEst_2024[CATEGORÍA],$B36,OctEst_2024[EGRESO])</f>
        <v>0</v>
      </c>
      <c r="M36" s="5">
        <f>SUMIF(NovEst_2024[CATEGORÍA],$B36,NovEst_2024[EGRESO])</f>
        <v>0</v>
      </c>
      <c r="N36" s="5">
        <f>SUMIF(DicEst_2024[CATEGORÍA],$B36,DicEst_2024[EGRESO])</f>
        <v>0</v>
      </c>
      <c r="O36" s="12">
        <f t="shared" ref="O36:O46" si="10">SUM(D36:N36)</f>
        <v>0</v>
      </c>
    </row>
    <row r="37" spans="2:15" s="3" customFormat="1" ht="14.1" customHeight="1" x14ac:dyDescent="0.25">
      <c r="B37" s="9" t="s">
        <v>48</v>
      </c>
      <c r="C37" s="5">
        <f>SUMIF(EneEst2024[CATEGORÍA],$B37,EneEst2024[EGRESO])</f>
        <v>0</v>
      </c>
      <c r="D37" s="5">
        <f>SUMIF(FebEst2024[CATEGORÍA],$B37,FebEst2024[EGRESO])</f>
        <v>0</v>
      </c>
      <c r="E37" s="5">
        <f>SUMIF(MarEst2024[CATEGORÍA],$B37,MarEst2024[EGRESO])</f>
        <v>0</v>
      </c>
      <c r="F37" s="5">
        <f>SUMIF(AbrEst2024[CATEGORÍA],$B37,AbrEst2024[EGRESO])</f>
        <v>0</v>
      </c>
      <c r="G37" s="5">
        <f>SUMIF(MayEst_2024[CATEGORÍA],$B37,MayEst_2024[EGRESO])</f>
        <v>0</v>
      </c>
      <c r="H37" s="5">
        <f>SUMIF(JunEst_2024[CATEGORÍA],$B37,JunEst_2024[EGRESO])</f>
        <v>0</v>
      </c>
      <c r="I37" s="5">
        <f>SUMIF(JulEst_2024[CATEGORÍA],$B37,JulEst_2024[EGRESO])</f>
        <v>0</v>
      </c>
      <c r="J37" s="5">
        <f>SUMIF(AgoEst_2024[CATEGORÍA],$B37,AgoEst_2024[EGRESO])</f>
        <v>0</v>
      </c>
      <c r="K37" s="5">
        <f>SUMIF(SepEst_2024[CATEGORÍA],$B37,SepEst_2024[EGRESO])</f>
        <v>0</v>
      </c>
      <c r="L37" s="5">
        <f>SUMIF(OctEst_2024[CATEGORÍA],$B37,OctEst_2024[EGRESO])</f>
        <v>0</v>
      </c>
      <c r="M37" s="5">
        <f>SUMIF(NovEst_2024[CATEGORÍA],$B37,NovEst_2024[EGRESO])</f>
        <v>0</v>
      </c>
      <c r="N37" s="5">
        <f>SUMIF(DicEst_2024[CATEGORÍA],$B37,DicEst_2024[EGRESO])</f>
        <v>0</v>
      </c>
      <c r="O37" s="12">
        <f t="shared" si="10"/>
        <v>0</v>
      </c>
    </row>
    <row r="38" spans="2:15" s="3" customFormat="1" ht="14.1" customHeight="1" x14ac:dyDescent="0.25">
      <c r="B38" s="9" t="s">
        <v>33</v>
      </c>
      <c r="C38" s="5">
        <f>SUMIF(EneEst2024[CATEGORÍA],$B38,EneEst2024[EGRESO])</f>
        <v>0</v>
      </c>
      <c r="D38" s="5">
        <f>SUMIF(FebEst2024[CATEGORÍA],$B38,FebEst2024[EGRESO])</f>
        <v>0</v>
      </c>
      <c r="E38" s="5">
        <f>SUMIF(MarEst2024[CATEGORÍA],$B38,MarEst2024[EGRESO])</f>
        <v>0</v>
      </c>
      <c r="F38" s="5">
        <f>SUMIF(AbrEst2024[CATEGORÍA],$B38,AbrEst2024[EGRESO])</f>
        <v>0</v>
      </c>
      <c r="G38" s="5">
        <f>SUMIF(MayEst_2024[CATEGORÍA],$B38,MayEst_2024[EGRESO])</f>
        <v>0</v>
      </c>
      <c r="H38" s="5">
        <f>SUMIF(JunEst_2024[CATEGORÍA],$B38,JunEst_2024[EGRESO])</f>
        <v>0</v>
      </c>
      <c r="I38" s="5">
        <f>SUMIF(JulEst_2024[CATEGORÍA],$B38,JulEst_2024[EGRESO])</f>
        <v>0</v>
      </c>
      <c r="J38" s="5">
        <f>SUMIF(AgoEst_2024[CATEGORÍA],$B38,AgoEst_2024[EGRESO])</f>
        <v>0</v>
      </c>
      <c r="K38" s="5">
        <f>SUMIF(SepEst_2024[CATEGORÍA],$B38,SepEst_2024[EGRESO])</f>
        <v>0</v>
      </c>
      <c r="L38" s="5">
        <f>SUMIF(OctEst_2024[CATEGORÍA],$B38,OctEst_2024[EGRESO])</f>
        <v>0</v>
      </c>
      <c r="M38" s="5">
        <f>SUMIF(NovEst_2024[CATEGORÍA],$B38,NovEst_2024[EGRESO])</f>
        <v>0</v>
      </c>
      <c r="N38" s="5">
        <f>SUMIF(DicEst_2024[CATEGORÍA],$B38,DicEst_2024[EGRESO])</f>
        <v>0</v>
      </c>
      <c r="O38" s="12">
        <f t="shared" si="10"/>
        <v>0</v>
      </c>
    </row>
    <row r="39" spans="2:15" s="3" customFormat="1" ht="14.1" customHeight="1" x14ac:dyDescent="0.25">
      <c r="B39" s="9" t="s">
        <v>34</v>
      </c>
      <c r="C39" s="5">
        <f>SUMIF(EneEst2024[CATEGORÍA],$B39,EneEst2024[EGRESO])</f>
        <v>0</v>
      </c>
      <c r="D39" s="5">
        <f>SUMIF(FebEst2024[CATEGORÍA],$B39,FebEst2024[EGRESO])</f>
        <v>0</v>
      </c>
      <c r="E39" s="5">
        <f>SUMIF(MarEst2024[CATEGORÍA],$B39,MarEst2024[EGRESO])</f>
        <v>0</v>
      </c>
      <c r="F39" s="5">
        <f>SUMIF(AbrEst2024[CATEGORÍA],$B39,AbrEst2024[EGRESO])</f>
        <v>0</v>
      </c>
      <c r="G39" s="5">
        <f>SUMIF(MayEst_2024[CATEGORÍA],$B39,MayEst_2024[EGRESO])</f>
        <v>0</v>
      </c>
      <c r="H39" s="5">
        <f>SUMIF(JunEst_2024[CATEGORÍA],$B39,JunEst_2024[EGRESO])</f>
        <v>0</v>
      </c>
      <c r="I39" s="5">
        <f>SUMIF(JulEst_2024[CATEGORÍA],$B39,JulEst_2024[EGRESO])</f>
        <v>0</v>
      </c>
      <c r="J39" s="5">
        <f>SUMIF(AgoEst_2024[CATEGORÍA],$B39,AgoEst_2024[EGRESO])</f>
        <v>0</v>
      </c>
      <c r="K39" s="5">
        <f>SUMIF(SepEst_2024[CATEGORÍA],$B39,SepEst_2024[EGRESO])</f>
        <v>0</v>
      </c>
      <c r="L39" s="5">
        <f>SUMIF(OctEst_2024[CATEGORÍA],$B39,OctEst_2024[EGRESO])</f>
        <v>0</v>
      </c>
      <c r="M39" s="5">
        <f>SUMIF(NovEst_2024[CATEGORÍA],$B39,NovEst_2024[EGRESO])</f>
        <v>0</v>
      </c>
      <c r="N39" s="5">
        <f>SUMIF(DicEst_2024[CATEGORÍA],$B39,DicEst_2024[EGRESO])</f>
        <v>0</v>
      </c>
      <c r="O39" s="12">
        <f t="shared" si="10"/>
        <v>0</v>
      </c>
    </row>
    <row r="40" spans="2:15" s="3" customFormat="1" ht="14.1" customHeight="1" x14ac:dyDescent="0.25">
      <c r="B40" s="9" t="s">
        <v>82</v>
      </c>
      <c r="C40" s="5">
        <f>SUMIF(EneEst2024[CATEGORÍA],$B40,EneEst2024[EGRESO])</f>
        <v>0</v>
      </c>
      <c r="D40" s="5">
        <f>SUMIF(FebEst2024[CATEGORÍA],$B40,FebEst2024[EGRESO])</f>
        <v>0</v>
      </c>
      <c r="E40" s="5">
        <f>SUMIF(MarEst2024[CATEGORÍA],$B40,MarEst2024[EGRESO])</f>
        <v>0</v>
      </c>
      <c r="F40" s="5">
        <f>SUMIF(AbrEst2024[CATEGORÍA],$B40,AbrEst2024[EGRESO])</f>
        <v>0</v>
      </c>
      <c r="G40" s="5">
        <f>SUMIF(MayEst_2024[CATEGORÍA],$B40,MayEst_2024[EGRESO])</f>
        <v>0</v>
      </c>
      <c r="H40" s="5">
        <f>SUMIF(JunEst_2024[CATEGORÍA],$B40,JunEst_2024[EGRESO])</f>
        <v>0</v>
      </c>
      <c r="I40" s="5">
        <f>SUMIF(JulEst_2024[CATEGORÍA],$B40,JulEst_2024[EGRESO])</f>
        <v>0</v>
      </c>
      <c r="J40" s="5">
        <f>SUMIF(AgoEst_2024[CATEGORÍA],$B40,AgoEst_2024[EGRESO])</f>
        <v>0</v>
      </c>
      <c r="K40" s="5">
        <f>SUMIF(SepEst_2024[CATEGORÍA],$B40,SepEst_2024[EGRESO])</f>
        <v>0</v>
      </c>
      <c r="L40" s="5">
        <f>SUMIF(OctEst_2024[CATEGORÍA],$B40,OctEst_2024[EGRESO])</f>
        <v>0</v>
      </c>
      <c r="M40" s="5">
        <f>SUMIF(NovEst_2024[CATEGORÍA],$B40,NovEst_2024[EGRESO])</f>
        <v>0</v>
      </c>
      <c r="N40" s="5">
        <f>SUMIF(DicEst_2024[CATEGORÍA],$B40,DicEst_2024[EGRESO])</f>
        <v>0</v>
      </c>
      <c r="O40" s="12">
        <f t="shared" si="10"/>
        <v>0</v>
      </c>
    </row>
    <row r="41" spans="2:15" s="3" customFormat="1" ht="14.1" customHeight="1" x14ac:dyDescent="0.25">
      <c r="B41" s="9" t="s">
        <v>35</v>
      </c>
      <c r="C41" s="5">
        <f>SUMIF(EneEst2024[CATEGORÍA],$B41,EneEst2024[EGRESO])</f>
        <v>0</v>
      </c>
      <c r="D41" s="5">
        <f>SUMIF(FebEst2024[CATEGORÍA],$B41,FebEst2024[EGRESO])</f>
        <v>0</v>
      </c>
      <c r="E41" s="5">
        <f>SUMIF(MarEst2024[CATEGORÍA],$B41,MarEst2024[EGRESO])</f>
        <v>0</v>
      </c>
      <c r="F41" s="5">
        <f>SUMIF(AbrEst2024[CATEGORÍA],$B41,AbrEst2024[EGRESO])</f>
        <v>0</v>
      </c>
      <c r="G41" s="5">
        <f>SUMIF(MayEst_2024[CATEGORÍA],$B41,MayEst_2024[EGRESO])</f>
        <v>0</v>
      </c>
      <c r="H41" s="5">
        <f>SUMIF(JunEst_2024[CATEGORÍA],$B41,JunEst_2024[EGRESO])</f>
        <v>0</v>
      </c>
      <c r="I41" s="5">
        <f>SUMIF(JulEst_2024[CATEGORÍA],$B41,JulEst_2024[EGRESO])</f>
        <v>0</v>
      </c>
      <c r="J41" s="5">
        <f>SUMIF(AgoEst_2024[CATEGORÍA],$B41,AgoEst_2024[EGRESO])</f>
        <v>0</v>
      </c>
      <c r="K41" s="5">
        <f>SUMIF(SepEst_2024[CATEGORÍA],$B41,SepEst_2024[EGRESO])</f>
        <v>0</v>
      </c>
      <c r="L41" s="5">
        <f>SUMIF(OctEst_2024[CATEGORÍA],$B41,OctEst_2024[EGRESO])</f>
        <v>0</v>
      </c>
      <c r="M41" s="5">
        <f>SUMIF(NovEst_2024[CATEGORÍA],$B41,NovEst_2024[EGRESO])</f>
        <v>0</v>
      </c>
      <c r="N41" s="5">
        <f>SUMIF(DicEst_2024[CATEGORÍA],$B41,DicEst_2024[EGRESO])</f>
        <v>0</v>
      </c>
      <c r="O41" s="12">
        <f t="shared" si="10"/>
        <v>0</v>
      </c>
    </row>
    <row r="42" spans="2:15" s="3" customFormat="1" ht="14.1" customHeight="1" x14ac:dyDescent="0.25">
      <c r="B42" s="9" t="s">
        <v>36</v>
      </c>
      <c r="C42" s="5">
        <f>SUMIF(EneEst2024[CATEGORÍA],$B42,EneEst2024[EGRESO])</f>
        <v>0</v>
      </c>
      <c r="D42" s="5">
        <f>SUMIF(FebEst2024[CATEGORÍA],$B42,FebEst2024[EGRESO])</f>
        <v>0</v>
      </c>
      <c r="E42" s="5">
        <f>SUMIF(MarEst2024[CATEGORÍA],$B42,MarEst2024[EGRESO])</f>
        <v>0</v>
      </c>
      <c r="F42" s="5">
        <f>SUMIF(AbrEst2024[CATEGORÍA],$B42,AbrEst2024[EGRESO])</f>
        <v>0</v>
      </c>
      <c r="G42" s="5">
        <f>SUMIF(MayEst_2024[CATEGORÍA],$B42,MayEst_2024[EGRESO])</f>
        <v>0</v>
      </c>
      <c r="H42" s="5">
        <f>SUMIF(JunEst_2024[CATEGORÍA],$B42,JunEst_2024[EGRESO])</f>
        <v>0</v>
      </c>
      <c r="I42" s="5">
        <f>SUMIF(JulEst_2024[CATEGORÍA],$B42,JulEst_2024[EGRESO])</f>
        <v>0</v>
      </c>
      <c r="J42" s="5">
        <f>SUMIF(AgoEst_2024[CATEGORÍA],$B42,AgoEst_2024[EGRESO])</f>
        <v>0</v>
      </c>
      <c r="K42" s="5">
        <f>SUMIF(SepEst_2024[CATEGORÍA],$B42,SepEst_2024[EGRESO])</f>
        <v>0</v>
      </c>
      <c r="L42" s="5">
        <f>SUMIF(OctEst_2024[CATEGORÍA],$B42,OctEst_2024[EGRESO])</f>
        <v>0</v>
      </c>
      <c r="M42" s="5">
        <f>SUMIF(NovEst_2024[CATEGORÍA],$B42,NovEst_2024[EGRESO])</f>
        <v>0</v>
      </c>
      <c r="N42" s="5">
        <f>SUMIF(DicEst_2024[CATEGORÍA],$B42,DicEst_2024[EGRESO])</f>
        <v>0</v>
      </c>
      <c r="O42" s="12">
        <f t="shared" si="10"/>
        <v>0</v>
      </c>
    </row>
    <row r="43" spans="2:15" s="3" customFormat="1" ht="14.1" customHeight="1" x14ac:dyDescent="0.25">
      <c r="B43" s="9" t="s">
        <v>37</v>
      </c>
      <c r="C43" s="5">
        <f>SUMIF(EneEst2024[CATEGORÍA],$B43,EneEst2024[EGRESO])</f>
        <v>0</v>
      </c>
      <c r="D43" s="5">
        <f>SUMIF(FebEst2024[CATEGORÍA],$B43,FebEst2024[EGRESO])</f>
        <v>0</v>
      </c>
      <c r="E43" s="5">
        <f>SUMIF(MarEst2024[CATEGORÍA],$B43,MarEst2024[EGRESO])</f>
        <v>0</v>
      </c>
      <c r="F43" s="5">
        <f>SUMIF(AbrEst2024[CATEGORÍA],$B43,AbrEst2024[EGRESO])</f>
        <v>0</v>
      </c>
      <c r="G43" s="5">
        <f>SUMIF(MayEst_2024[CATEGORÍA],$B43,MayEst_2024[EGRESO])</f>
        <v>0</v>
      </c>
      <c r="H43" s="5">
        <f>SUMIF(JunEst_2024[CATEGORÍA],$B43,JunEst_2024[EGRESO])</f>
        <v>0</v>
      </c>
      <c r="I43" s="5">
        <f>SUMIF(JulEst_2024[CATEGORÍA],$B43,JulEst_2024[EGRESO])</f>
        <v>0</v>
      </c>
      <c r="J43" s="5">
        <f>SUMIF(AgoEst_2024[CATEGORÍA],$B43,AgoEst_2024[EGRESO])</f>
        <v>0</v>
      </c>
      <c r="K43" s="5">
        <f>SUMIF(SepEst_2024[CATEGORÍA],$B43,SepEst_2024[EGRESO])</f>
        <v>0</v>
      </c>
      <c r="L43" s="5">
        <f>SUMIF(OctEst_2024[CATEGORÍA],$B43,OctEst_2024[EGRESO])</f>
        <v>0</v>
      </c>
      <c r="M43" s="5">
        <f>SUMIF(NovEst_2024[CATEGORÍA],$B43,NovEst_2024[EGRESO])</f>
        <v>0</v>
      </c>
      <c r="N43" s="5">
        <f>SUMIF(DicEst_2024[CATEGORÍA],$B43,DicEst_2024[EGRESO])</f>
        <v>0</v>
      </c>
      <c r="O43" s="12">
        <f t="shared" si="10"/>
        <v>0</v>
      </c>
    </row>
    <row r="44" spans="2:15" s="3" customFormat="1" ht="14.1" customHeight="1" x14ac:dyDescent="0.25">
      <c r="B44" s="9" t="s">
        <v>38</v>
      </c>
      <c r="C44" s="5">
        <f>SUMIF(EneEst2024[CATEGORÍA],$B44,EneEst2024[EGRESO])</f>
        <v>0</v>
      </c>
      <c r="D44" s="5">
        <f>SUMIF(FebEst2024[CATEGORÍA],$B44,FebEst2024[EGRESO])</f>
        <v>0</v>
      </c>
      <c r="E44" s="5">
        <f>SUMIF(MarEst2024[CATEGORÍA],$B44,MarEst2024[EGRESO])</f>
        <v>0</v>
      </c>
      <c r="F44" s="5">
        <f>SUMIF(AbrEst2024[CATEGORÍA],$B44,AbrEst2024[EGRESO])</f>
        <v>0</v>
      </c>
      <c r="G44" s="5">
        <f>SUMIF(MayEst_2024[CATEGORÍA],$B44,MayEst_2024[EGRESO])</f>
        <v>0</v>
      </c>
      <c r="H44" s="5">
        <f>SUMIF(JunEst_2024[CATEGORÍA],$B44,JunEst_2024[EGRESO])</f>
        <v>0</v>
      </c>
      <c r="I44" s="5">
        <f>SUMIF(JulEst_2024[CATEGORÍA],$B44,JulEst_2024[EGRESO])</f>
        <v>0</v>
      </c>
      <c r="J44" s="5">
        <f>SUMIF(AgoEst_2024[CATEGORÍA],$B44,AgoEst_2024[EGRESO])</f>
        <v>0</v>
      </c>
      <c r="K44" s="5">
        <f>SUMIF(SepEst_2024[CATEGORÍA],$B44,SepEst_2024[EGRESO])</f>
        <v>0</v>
      </c>
      <c r="L44" s="5">
        <f>SUMIF(OctEst_2024[CATEGORÍA],$B44,OctEst_2024[EGRESO])</f>
        <v>0</v>
      </c>
      <c r="M44" s="5">
        <f>SUMIF(NovEst_2024[CATEGORÍA],$B44,NovEst_2024[EGRESO])</f>
        <v>0</v>
      </c>
      <c r="N44" s="5">
        <f>SUMIF(DicEst_2024[CATEGORÍA],$B44,DicEst_2024[EGRESO])</f>
        <v>0</v>
      </c>
      <c r="O44" s="12">
        <f t="shared" si="10"/>
        <v>0</v>
      </c>
    </row>
    <row r="45" spans="2:15" s="3" customFormat="1" ht="14.1" customHeight="1" x14ac:dyDescent="0.25">
      <c r="B45" s="9" t="s">
        <v>44</v>
      </c>
      <c r="C45" s="5">
        <f>SUMIF(EneEst2024[CATEGORÍA],$B45,EneEst2024[EGRESO])</f>
        <v>0</v>
      </c>
      <c r="D45" s="5">
        <f>SUMIF(FebEst2024[CATEGORÍA],$B45,FebEst2024[EGRESO])</f>
        <v>0</v>
      </c>
      <c r="E45" s="5">
        <f>SUMIF(MarEst2024[CATEGORÍA],$B45,MarEst2024[EGRESO])</f>
        <v>0</v>
      </c>
      <c r="F45" s="5">
        <f>SUMIF(AbrEst2024[CATEGORÍA],$B45,AbrEst2024[EGRESO])</f>
        <v>0</v>
      </c>
      <c r="G45" s="5">
        <f>SUMIF(MayEst_2024[CATEGORÍA],$B45,MayEst_2024[EGRESO])</f>
        <v>0</v>
      </c>
      <c r="H45" s="5">
        <f>SUMIF(JunEst_2024[CATEGORÍA],$B45,JunEst_2024[EGRESO])</f>
        <v>0</v>
      </c>
      <c r="I45" s="5">
        <f>SUMIF(JulEst_2024[CATEGORÍA],$B45,JulEst_2024[EGRESO])</f>
        <v>0</v>
      </c>
      <c r="J45" s="5">
        <f>SUMIF(AgoEst_2024[CATEGORÍA],$B45,AgoEst_2024[EGRESO])</f>
        <v>0</v>
      </c>
      <c r="K45" s="5">
        <f>SUMIF(SepEst_2024[CATEGORÍA],$B45,SepEst_2024[EGRESO])</f>
        <v>0</v>
      </c>
      <c r="L45" s="5">
        <f>SUMIF(OctEst_2024[CATEGORÍA],$B45,OctEst_2024[EGRESO])</f>
        <v>0</v>
      </c>
      <c r="M45" s="5">
        <f>SUMIF(NovEst_2024[CATEGORÍA],$B45,NovEst_2024[EGRESO])</f>
        <v>0</v>
      </c>
      <c r="N45" s="5">
        <f>SUMIF(DicEst_2024[CATEGORÍA],$B45,DicEst_2024[EGRESO])</f>
        <v>0</v>
      </c>
      <c r="O45" s="12">
        <f t="shared" si="10"/>
        <v>0</v>
      </c>
    </row>
    <row r="46" spans="2:15" s="3" customFormat="1" ht="14.1" customHeight="1" x14ac:dyDescent="0.25">
      <c r="B46" s="9" t="s">
        <v>85</v>
      </c>
      <c r="C46" s="5">
        <f>SUMIF(EneEst2024[CATEGORÍA],$B46,EneEst2024[EGRESO])</f>
        <v>0</v>
      </c>
      <c r="D46" s="5">
        <f>SUMIF(FebEst2024[CATEGORÍA],$B46,FebEst2024[EGRESO])</f>
        <v>0</v>
      </c>
      <c r="E46" s="5">
        <f>SUMIF(MarEst2024[CATEGORÍA],$B46,MarEst2024[EGRESO])</f>
        <v>0</v>
      </c>
      <c r="F46" s="5">
        <f>SUMIF(AbrEst2024[CATEGORÍA],$B46,AbrEst2024[EGRESO])</f>
        <v>0</v>
      </c>
      <c r="G46" s="5">
        <f>SUMIF(MayEst_2024[CATEGORÍA],$B46,MayEst_2024[EGRESO])</f>
        <v>0</v>
      </c>
      <c r="H46" s="5">
        <f>SUMIF(JunEst_2024[CATEGORÍA],$B46,JunEst_2024[EGRESO])</f>
        <v>0</v>
      </c>
      <c r="I46" s="5">
        <f>SUMIF(JulEst_2024[CATEGORÍA],$B46,JulEst_2024[EGRESO])</f>
        <v>0</v>
      </c>
      <c r="J46" s="5">
        <f>SUMIF(AgoEst_2024[CATEGORÍA],$B46,AgoEst_2024[EGRESO])</f>
        <v>0</v>
      </c>
      <c r="K46" s="5">
        <f>SUMIF(SepEst_2024[CATEGORÍA],$B46,SepEst_2024[EGRESO])</f>
        <v>0</v>
      </c>
      <c r="L46" s="5">
        <f>SUMIF(OctEst_2024[CATEGORÍA],$B46,OctEst_2024[EGRESO])</f>
        <v>0</v>
      </c>
      <c r="M46" s="5">
        <f>SUMIF(NovEst_2024[CATEGORÍA],$B46,NovEst_2024[EGRESO])</f>
        <v>0</v>
      </c>
      <c r="N46" s="5">
        <f>SUMIF(DicEst_2024[CATEGORÍA],$B46,DicEst_2024[EGRESO])</f>
        <v>0</v>
      </c>
      <c r="O46" s="12">
        <f t="shared" si="10"/>
        <v>0</v>
      </c>
    </row>
    <row r="47" spans="2:15" s="3" customFormat="1" ht="14.1" customHeight="1" x14ac:dyDescent="0.25">
      <c r="B47" s="9"/>
      <c r="C47" s="19">
        <f>SUM(C35:C46)</f>
        <v>0</v>
      </c>
      <c r="D47" s="19">
        <f t="shared" ref="D47:O47" si="11">SUM(D35:D46)</f>
        <v>0</v>
      </c>
      <c r="E47" s="19">
        <f>SUM(E35:E46)</f>
        <v>0</v>
      </c>
      <c r="F47" s="19">
        <f t="shared" si="11"/>
        <v>0</v>
      </c>
      <c r="G47" s="19">
        <f t="shared" si="11"/>
        <v>0</v>
      </c>
      <c r="H47" s="19">
        <f t="shared" si="11"/>
        <v>0</v>
      </c>
      <c r="I47" s="19">
        <f t="shared" si="11"/>
        <v>0</v>
      </c>
      <c r="J47" s="19">
        <f t="shared" si="11"/>
        <v>0</v>
      </c>
      <c r="K47" s="19">
        <f t="shared" si="11"/>
        <v>0</v>
      </c>
      <c r="L47" s="19">
        <f t="shared" si="11"/>
        <v>0</v>
      </c>
      <c r="M47" s="19">
        <f>SUM(M35:M46)</f>
        <v>0</v>
      </c>
      <c r="N47" s="19">
        <f t="shared" si="11"/>
        <v>0</v>
      </c>
      <c r="O47" s="19">
        <f t="shared" si="11"/>
        <v>0</v>
      </c>
    </row>
    <row r="48" spans="2:15" s="3" customFormat="1" ht="14.1" customHeight="1" x14ac:dyDescent="0.25">
      <c r="B48" s="18" t="s">
        <v>32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/>
    </row>
    <row r="49" spans="2:15" s="3" customFormat="1" ht="14.1" customHeight="1" x14ac:dyDescent="0.25">
      <c r="B49" s="9" t="s">
        <v>10</v>
      </c>
      <c r="C49" s="5">
        <f>SUMIF(EneEst2024[CATEGORÍA],$B49,EneEst2024[EGRESO])</f>
        <v>0</v>
      </c>
      <c r="D49" s="5">
        <f>SUMIF(FebEst2024[CATEGORÍA],$B49,FebEst2024[EGRESO])</f>
        <v>0</v>
      </c>
      <c r="E49" s="5">
        <f>SUMIF(FebEst2024[CATEGORÍA],$B49,FebEst2024[EGRESO])</f>
        <v>0</v>
      </c>
      <c r="F49" s="5">
        <f>SUMIF(AbrEst2024[CATEGORÍA],$B49,AbrEst2024[EGRESO])</f>
        <v>0</v>
      </c>
      <c r="G49" s="5">
        <f>SUMIF(MayEst_2024[CATEGORÍA],$B49,MayEst_2024[EGRESO])</f>
        <v>0</v>
      </c>
      <c r="H49" s="5">
        <f>SUMIF(JunEst_2024[CATEGORÍA],$B49,JunEst_2024[EGRESO])</f>
        <v>0</v>
      </c>
      <c r="I49" s="5">
        <f>SUMIF(JulEst_2024[CATEGORÍA],$B49,JulEst_2024[EGRESO])</f>
        <v>0</v>
      </c>
      <c r="J49" s="5">
        <f>SUMIF(AgoEst_2024[CATEGORÍA],$B49,AgoEst_2024[EGRESO])</f>
        <v>0</v>
      </c>
      <c r="K49" s="5">
        <f>SUMIF(SepEst_2024[CATEGORÍA],$B49,SepEst_2024[EGRESO])</f>
        <v>0</v>
      </c>
      <c r="L49" s="5">
        <f>SUMIF(OctEst_2024[CATEGORÍA],$B49,OctEst_2024[EGRESO])</f>
        <v>0</v>
      </c>
      <c r="M49" s="5">
        <f>SUMIF(NovEst_2024[CATEGORÍA],$B49,NovEst_2024[EGRESO])</f>
        <v>0</v>
      </c>
      <c r="N49" s="5">
        <f>SUMIF(DicEst_2024[CATEGORÍA],$B49,DicEst_2024[EGRESO])</f>
        <v>0</v>
      </c>
      <c r="O49" s="12">
        <f>SUM(D49:N49)</f>
        <v>0</v>
      </c>
    </row>
    <row r="50" spans="2:15" s="3" customFormat="1" ht="14.1" customHeight="1" x14ac:dyDescent="0.25">
      <c r="B50" s="9" t="s">
        <v>11</v>
      </c>
      <c r="C50" s="5">
        <f>SUMIF(EneEst2024[CATEGORÍA],$B50,EneEst2024[EGRESO])</f>
        <v>0</v>
      </c>
      <c r="D50" s="5">
        <f>SUMIF(FebEst2024[CATEGORÍA],$B50,FebEst2024[EGRESO])</f>
        <v>0</v>
      </c>
      <c r="E50" s="5">
        <f>SUMIF(FebEst2024[CATEGORÍA],$B50,FebEst2024[EGRESO])</f>
        <v>0</v>
      </c>
      <c r="F50" s="5">
        <f>SUMIF(AbrEst2024[CATEGORÍA],$B50,AbrEst2024[EGRESO])</f>
        <v>0</v>
      </c>
      <c r="G50" s="5">
        <f>SUMIF(MayEst_2024[CATEGORÍA],$B50,MayEst_2024[EGRESO])</f>
        <v>0</v>
      </c>
      <c r="H50" s="5">
        <f>SUMIF(JunEst_2024[CATEGORÍA],$B50,JunEst_2024[EGRESO])</f>
        <v>0</v>
      </c>
      <c r="I50" s="5">
        <f>SUMIF(JulEst_2024[CATEGORÍA],$B50,JulEst_2024[EGRESO])</f>
        <v>0</v>
      </c>
      <c r="J50" s="5">
        <f>SUMIF(AgoEst_2024[CATEGORÍA],$B50,AgoEst_2024[EGRESO])</f>
        <v>0</v>
      </c>
      <c r="K50" s="5">
        <f>SUMIF(SepEst_2024[CATEGORÍA],$B50,SepEst_2024[EGRESO])</f>
        <v>0</v>
      </c>
      <c r="L50" s="5">
        <f>SUMIF(OctEst_2024[CATEGORÍA],$B50,OctEst_2024[EGRESO])</f>
        <v>0</v>
      </c>
      <c r="M50" s="5">
        <f>SUMIF(NovEst_2024[CATEGORÍA],$B50,NovEst_2024[EGRESO])</f>
        <v>0</v>
      </c>
      <c r="N50" s="5">
        <f>SUMIF(DicEst_2024[CATEGORÍA],$B50,DicEst_2024[EGRESO])</f>
        <v>0</v>
      </c>
      <c r="O50" s="12">
        <f t="shared" ref="O50:O57" si="12">SUM(D50:N50)</f>
        <v>0</v>
      </c>
    </row>
    <row r="51" spans="2:15" s="3" customFormat="1" ht="14.1" customHeight="1" x14ac:dyDescent="0.25">
      <c r="B51" s="9" t="s">
        <v>45</v>
      </c>
      <c r="C51" s="5">
        <f>SUMIF(EneEst2024[CATEGORÍA],$B51,EneEst2024[EGRESO])</f>
        <v>0</v>
      </c>
      <c r="D51" s="5">
        <f>SUMIF(FebEst2024[CATEGORÍA],$B51,FebEst2024[EGRESO])</f>
        <v>0</v>
      </c>
      <c r="E51" s="5">
        <f>SUMIF(FebEst2024[CATEGORÍA],$B51,FebEst2024[EGRESO])</f>
        <v>0</v>
      </c>
      <c r="F51" s="5">
        <f>SUMIF(AbrEst2024[CATEGORÍA],$B51,AbrEst2024[EGRESO])</f>
        <v>0</v>
      </c>
      <c r="G51" s="5">
        <f>SUMIF(MayEst_2024[CATEGORÍA],$B51,MayEst_2024[EGRESO])</f>
        <v>0</v>
      </c>
      <c r="H51" s="5">
        <f>SUMIF(JunEst_2024[CATEGORÍA],$B51,JunEst_2024[EGRESO])</f>
        <v>0</v>
      </c>
      <c r="I51" s="5">
        <f>SUMIF(JulEst_2024[CATEGORÍA],$B51,JulEst_2024[EGRESO])</f>
        <v>0</v>
      </c>
      <c r="J51" s="5">
        <f>SUMIF(AgoEst_2024[CATEGORÍA],$B51,AgoEst_2024[EGRESO])</f>
        <v>0</v>
      </c>
      <c r="K51" s="5">
        <f>SUMIF(SepEst_2024[CATEGORÍA],$B51,SepEst_2024[EGRESO])</f>
        <v>0</v>
      </c>
      <c r="L51" s="5">
        <f>SUMIF(OctEst_2024[CATEGORÍA],$B51,OctEst_2024[EGRESO])</f>
        <v>0</v>
      </c>
      <c r="M51" s="5">
        <f>SUMIF(NovEst_2024[CATEGORÍA],$B51,NovEst_2024[EGRESO])</f>
        <v>0</v>
      </c>
      <c r="N51" s="5">
        <f>SUMIF(DicEst_2024[CATEGORÍA],$B51,DicEst_2024[EGRESO])</f>
        <v>0</v>
      </c>
      <c r="O51" s="12">
        <f t="shared" si="12"/>
        <v>0</v>
      </c>
    </row>
    <row r="52" spans="2:15" s="3" customFormat="1" ht="14.1" customHeight="1" x14ac:dyDescent="0.25">
      <c r="B52" s="9" t="s">
        <v>66</v>
      </c>
      <c r="C52" s="5">
        <f>SUMIF(EneEst2024[CATEGORÍA],$B52,EneEst2024[EGRESO])</f>
        <v>0</v>
      </c>
      <c r="D52" s="5">
        <f>SUMIF(FebEst2024[CATEGORÍA],$B52,FebEst2024[EGRESO])</f>
        <v>0</v>
      </c>
      <c r="E52" s="5">
        <f>SUMIF(FebEst2024[CATEGORÍA],$B52,FebEst2024[EGRESO])</f>
        <v>0</v>
      </c>
      <c r="F52" s="5">
        <f>SUMIF(AbrEst2024[CATEGORÍA],$B52,AbrEst2024[EGRESO])</f>
        <v>0</v>
      </c>
      <c r="G52" s="5">
        <f>SUMIF(MayEst_2024[CATEGORÍA],$B52,MayEst_2024[EGRESO])</f>
        <v>0</v>
      </c>
      <c r="H52" s="5">
        <f>SUMIF(JunEst_2024[CATEGORÍA],$B52,JunEst_2024[EGRESO])</f>
        <v>0</v>
      </c>
      <c r="I52" s="5">
        <f>SUMIF(JulEst_2024[CATEGORÍA],$B52,JulEst_2024[EGRESO])</f>
        <v>0</v>
      </c>
      <c r="J52" s="5">
        <f>SUMIF(AgoEst_2024[CATEGORÍA],$B52,AgoEst_2024[EGRESO])</f>
        <v>0</v>
      </c>
      <c r="K52" s="5">
        <f>SUMIF(SepEst_2024[CATEGORÍA],$B52,SepEst_2024[EGRESO])</f>
        <v>0</v>
      </c>
      <c r="L52" s="5">
        <f>SUMIF(OctEst_2024[CATEGORÍA],$B52,OctEst_2024[EGRESO])</f>
        <v>0</v>
      </c>
      <c r="M52" s="5">
        <f>SUMIF(NovEst_2024[CATEGORÍA],$B52,NovEst_2024[EGRESO])</f>
        <v>0</v>
      </c>
      <c r="N52" s="5">
        <f>SUMIF(DicEst_2024[CATEGORÍA],$B52,DicEst_2024[EGRESO])</f>
        <v>0</v>
      </c>
      <c r="O52" s="12">
        <f t="shared" si="12"/>
        <v>0</v>
      </c>
    </row>
    <row r="53" spans="2:15" s="3" customFormat="1" ht="14.1" customHeight="1" x14ac:dyDescent="0.25">
      <c r="B53" s="9" t="s">
        <v>12</v>
      </c>
      <c r="C53" s="5">
        <f>SUMIF(EneEst2024[CATEGORÍA],$B53,EneEst2024[EGRESO])</f>
        <v>0</v>
      </c>
      <c r="D53" s="5">
        <f>SUMIF(FebEst2024[CATEGORÍA],$B53,FebEst2024[EGRESO])</f>
        <v>0</v>
      </c>
      <c r="E53" s="5">
        <f>SUMIF(FebEst2024[CATEGORÍA],$B53,FebEst2024[EGRESO])</f>
        <v>0</v>
      </c>
      <c r="F53" s="5">
        <f>SUMIF(AbrEst2024[CATEGORÍA],$B53,AbrEst2024[EGRESO])</f>
        <v>0</v>
      </c>
      <c r="G53" s="5">
        <f>SUMIF(MayEst_2024[CATEGORÍA],$B53,MayEst_2024[EGRESO])</f>
        <v>0</v>
      </c>
      <c r="H53" s="5">
        <f>SUMIF(JunEst_2024[CATEGORÍA],$B53,JunEst_2024[EGRESO])</f>
        <v>0</v>
      </c>
      <c r="I53" s="5">
        <f>SUMIF(JulEst_2024[CATEGORÍA],$B53,JulEst_2024[EGRESO])</f>
        <v>0</v>
      </c>
      <c r="J53" s="5">
        <f>SUMIF(AgoEst_2024[CATEGORÍA],$B53,AgoEst_2024[EGRESO])</f>
        <v>0</v>
      </c>
      <c r="K53" s="5">
        <f>SUMIF(SepEst_2024[CATEGORÍA],$B53,SepEst_2024[EGRESO])</f>
        <v>0</v>
      </c>
      <c r="L53" s="5">
        <f>SUMIF(OctEst_2024[CATEGORÍA],$B53,OctEst_2024[EGRESO])</f>
        <v>0</v>
      </c>
      <c r="M53" s="5">
        <f>SUMIF(NovEst_2024[CATEGORÍA],$B53,NovEst_2024[EGRESO])</f>
        <v>0</v>
      </c>
      <c r="N53" s="5">
        <f>SUMIF(DicEst_2024[CATEGORÍA],$B53,DicEst_2024[EGRESO])</f>
        <v>0</v>
      </c>
      <c r="O53" s="12">
        <f t="shared" si="12"/>
        <v>0</v>
      </c>
    </row>
    <row r="54" spans="2:15" s="3" customFormat="1" ht="14.1" customHeight="1" x14ac:dyDescent="0.25">
      <c r="B54" s="9" t="s">
        <v>13</v>
      </c>
      <c r="C54" s="5">
        <f>SUMIF(EneEst2024[CATEGORÍA],$B54,EneEst2024[EGRESO])</f>
        <v>0</v>
      </c>
      <c r="D54" s="5">
        <f>SUMIF(FebEst2024[CATEGORÍA],$B54,FebEst2024[EGRESO])</f>
        <v>0</v>
      </c>
      <c r="E54" s="5">
        <f>SUMIF(FebEst2024[CATEGORÍA],$B54,FebEst2024[EGRESO])</f>
        <v>0</v>
      </c>
      <c r="F54" s="5">
        <f>SUMIF(AbrEst2024[CATEGORÍA],$B54,AbrEst2024[EGRESO])</f>
        <v>0</v>
      </c>
      <c r="G54" s="5">
        <f>SUMIF(MayEst_2024[CATEGORÍA],$B54,MayEst_2024[EGRESO])</f>
        <v>0</v>
      </c>
      <c r="H54" s="5">
        <f>SUMIF(JunEst_2024[CATEGORÍA],$B54,JunEst_2024[EGRESO])</f>
        <v>0</v>
      </c>
      <c r="I54" s="5">
        <f>SUMIF(JulEst_2024[CATEGORÍA],$B54,JulEst_2024[EGRESO])</f>
        <v>0</v>
      </c>
      <c r="J54" s="5">
        <f>SUMIF(AgoEst_2024[CATEGORÍA],$B54,AgoEst_2024[EGRESO])</f>
        <v>0</v>
      </c>
      <c r="K54" s="5">
        <f>SUMIF(SepEst_2024[CATEGORÍA],$B54,SepEst_2024[EGRESO])</f>
        <v>0</v>
      </c>
      <c r="L54" s="5">
        <f>SUMIF(OctEst_2024[CATEGORÍA],$B54,OctEst_2024[EGRESO])</f>
        <v>0</v>
      </c>
      <c r="M54" s="5">
        <f>SUMIF(NovEst_2024[CATEGORÍA],$B54,NovEst_2024[EGRESO])</f>
        <v>0</v>
      </c>
      <c r="N54" s="5">
        <f>SUMIF(DicEst_2024[CATEGORÍA],$B54,DicEst_2024[EGRESO])</f>
        <v>0</v>
      </c>
      <c r="O54" s="12">
        <f t="shared" si="12"/>
        <v>0</v>
      </c>
    </row>
    <row r="55" spans="2:15" s="3" customFormat="1" ht="14.1" customHeight="1" x14ac:dyDescent="0.25">
      <c r="B55" s="9" t="s">
        <v>68</v>
      </c>
      <c r="C55" s="5">
        <f>SUMIF(EneEst2024[CATEGORÍA],$B55,EneEst2024[EGRESO])</f>
        <v>0</v>
      </c>
      <c r="D55" s="5">
        <f>SUMIF(FebEst2024[CATEGORÍA],$B55,FebEst2024[EGRESO])</f>
        <v>0</v>
      </c>
      <c r="E55" s="5">
        <f>SUMIF(FebEst2024[CATEGORÍA],$B55,FebEst2024[EGRESO])</f>
        <v>0</v>
      </c>
      <c r="F55" s="5">
        <f>SUMIF(AbrEst2024[CATEGORÍA],$B55,AbrEst2024[EGRESO])</f>
        <v>0</v>
      </c>
      <c r="G55" s="5">
        <f>SUMIF(MayEst_2024[CATEGORÍA],$B55,MayEst_2024[EGRESO])</f>
        <v>0</v>
      </c>
      <c r="H55" s="5">
        <f>SUMIF(JunEst_2024[CATEGORÍA],$B55,JunEst_2024[EGRESO])</f>
        <v>0</v>
      </c>
      <c r="I55" s="5">
        <f>SUMIF(JulEst_2024[CATEGORÍA],$B55,JulEst_2024[EGRESO])</f>
        <v>0</v>
      </c>
      <c r="J55" s="5">
        <f>SUMIF(AgoEst_2024[CATEGORÍA],$B55,AgoEst_2024[EGRESO])</f>
        <v>0</v>
      </c>
      <c r="K55" s="5">
        <f>SUMIF(SepEst_2024[CATEGORÍA],$B55,SepEst_2024[EGRESO])</f>
        <v>0</v>
      </c>
      <c r="L55" s="5">
        <f>SUMIF(OctEst_2024[CATEGORÍA],$B55,OctEst_2024[EGRESO])</f>
        <v>0</v>
      </c>
      <c r="M55" s="5">
        <f>SUMIF(NovEst_2024[CATEGORÍA],$B55,NovEst_2024[EGRESO])</f>
        <v>0</v>
      </c>
      <c r="N55" s="5">
        <f>SUMIF(DicEst_2024[CATEGORÍA],$B55,DicEst_2024[EGRESO])</f>
        <v>0</v>
      </c>
      <c r="O55" s="12">
        <f t="shared" si="12"/>
        <v>0</v>
      </c>
    </row>
    <row r="56" spans="2:15" s="3" customFormat="1" ht="14.1" customHeight="1" x14ac:dyDescent="0.25">
      <c r="B56" s="9" t="s">
        <v>67</v>
      </c>
      <c r="C56" s="5">
        <f>SUMIF(EneEst2024[CATEGORÍA],$B56,EneEst2024[EGRESO])</f>
        <v>0</v>
      </c>
      <c r="D56" s="5">
        <f>SUMIF(FebEst2024[CATEGORÍA],$B56,FebEst2024[EGRESO])</f>
        <v>0</v>
      </c>
      <c r="E56" s="5">
        <f>SUMIF(FebEst2024[CATEGORÍA],$B56,FebEst2024[EGRESO])</f>
        <v>0</v>
      </c>
      <c r="F56" s="5">
        <f>SUMIF(AbrEst2024[CATEGORÍA],$B56,AbrEst2024[EGRESO])</f>
        <v>0</v>
      </c>
      <c r="G56" s="5">
        <f>SUMIF(MayEst_2024[CATEGORÍA],$B56,MayEst_2024[EGRESO])</f>
        <v>0</v>
      </c>
      <c r="H56" s="5">
        <f>SUMIF(JunEst_2024[CATEGORÍA],$B56,JunEst_2024[EGRESO])</f>
        <v>0</v>
      </c>
      <c r="I56" s="5">
        <f>SUMIF(JulEst_2024[CATEGORÍA],$B56,JulEst_2024[EGRESO])</f>
        <v>0</v>
      </c>
      <c r="J56" s="5">
        <f>SUMIF(AgoEst_2024[CATEGORÍA],$B56,AgoEst_2024[EGRESO])</f>
        <v>0</v>
      </c>
      <c r="K56" s="5">
        <f>SUMIF(SepEst_2024[CATEGORÍA],$B56,SepEst_2024[EGRESO])</f>
        <v>0</v>
      </c>
      <c r="L56" s="5">
        <f>SUMIF(OctEst_2024[CATEGORÍA],$B56,OctEst_2024[EGRESO])</f>
        <v>0</v>
      </c>
      <c r="M56" s="5">
        <f>SUMIF(NovEst_2024[CATEGORÍA],$B56,NovEst_2024[EGRESO])</f>
        <v>0</v>
      </c>
      <c r="N56" s="5">
        <f>SUMIF(DicEst_2024[CATEGORÍA],$B56,DicEst_2024[EGRESO])</f>
        <v>0</v>
      </c>
      <c r="O56" s="12">
        <f t="shared" si="12"/>
        <v>0</v>
      </c>
    </row>
    <row r="57" spans="2:15" s="3" customFormat="1" ht="14.1" customHeight="1" x14ac:dyDescent="0.25">
      <c r="B57" s="9" t="s">
        <v>9</v>
      </c>
      <c r="C57" s="5">
        <f>SUMIF(EneEst2024[CATEGORÍA],$B57,EneEst2024[EGRESO])</f>
        <v>0</v>
      </c>
      <c r="D57" s="5">
        <f>SUMIF(FebEst2024[CATEGORÍA],$B57,FebEst2024[EGRESO])</f>
        <v>0</v>
      </c>
      <c r="E57" s="5">
        <f>SUMIF(FebEst2024[CATEGORÍA],$B57,FebEst2024[EGRESO])</f>
        <v>0</v>
      </c>
      <c r="F57" s="5">
        <f>SUMIF(AbrEst2024[CATEGORÍA],$B57,AbrEst2024[EGRESO])</f>
        <v>0</v>
      </c>
      <c r="G57" s="5">
        <f>SUMIF(MayEst_2024[CATEGORÍA],$B57,MayEst_2024[EGRESO])</f>
        <v>0</v>
      </c>
      <c r="H57" s="5">
        <f>SUMIF(JunEst_2024[CATEGORÍA],$B57,JunEst_2024[EGRESO])</f>
        <v>0</v>
      </c>
      <c r="I57" s="5">
        <f>SUMIF(JulEst_2024[CATEGORÍA],$B57,JulEst_2024[EGRESO])</f>
        <v>0</v>
      </c>
      <c r="J57" s="5">
        <f>SUMIF(AgoEst_2024[CATEGORÍA],$B57,AgoEst_2024[EGRESO])</f>
        <v>0</v>
      </c>
      <c r="K57" s="5">
        <f>SUMIF(SepEst_2024[CATEGORÍA],$B57,SepEst_2024[EGRESO])</f>
        <v>0</v>
      </c>
      <c r="L57" s="5">
        <f>SUMIF(OctEst_2024[CATEGORÍA],$B57,OctEst_2024[EGRESO])</f>
        <v>0</v>
      </c>
      <c r="M57" s="5">
        <f>SUMIF(NovEst_2024[CATEGORÍA],$B57,NovEst_2024[EGRESO])</f>
        <v>0</v>
      </c>
      <c r="N57" s="5">
        <f>SUMIF(DicEst_2024[CATEGORÍA],$B57,DicEst_2024[EGRESO])</f>
        <v>0</v>
      </c>
      <c r="O57" s="12">
        <f t="shared" si="12"/>
        <v>0</v>
      </c>
    </row>
    <row r="58" spans="2:15" s="3" customFormat="1" ht="14.1" customHeight="1" x14ac:dyDescent="0.25">
      <c r="B58" s="9"/>
      <c r="C58" s="20">
        <f>SUM(C49:C57)</f>
        <v>0</v>
      </c>
      <c r="D58" s="20">
        <f t="shared" ref="D58:O58" si="13">SUM(D49:D57)</f>
        <v>0</v>
      </c>
      <c r="E58" s="20">
        <f>SUM(E49:E57)</f>
        <v>0</v>
      </c>
      <c r="F58" s="20">
        <f t="shared" si="13"/>
        <v>0</v>
      </c>
      <c r="G58" s="20">
        <f t="shared" si="13"/>
        <v>0</v>
      </c>
      <c r="H58" s="20">
        <f t="shared" si="13"/>
        <v>0</v>
      </c>
      <c r="I58" s="20">
        <f t="shared" si="13"/>
        <v>0</v>
      </c>
      <c r="J58" s="20">
        <f t="shared" si="13"/>
        <v>0</v>
      </c>
      <c r="K58" s="20">
        <f t="shared" si="13"/>
        <v>0</v>
      </c>
      <c r="L58" s="20">
        <f t="shared" si="13"/>
        <v>0</v>
      </c>
      <c r="M58" s="20">
        <f t="shared" si="13"/>
        <v>0</v>
      </c>
      <c r="N58" s="20">
        <f t="shared" si="13"/>
        <v>0</v>
      </c>
      <c r="O58" s="20">
        <f t="shared" si="13"/>
        <v>0</v>
      </c>
    </row>
    <row r="59" spans="2:15" s="3" customFormat="1" ht="14.1" customHeight="1" x14ac:dyDescent="0.25">
      <c r="B59" s="18" t="s">
        <v>47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1"/>
    </row>
    <row r="60" spans="2:15" s="3" customFormat="1" ht="14.1" customHeight="1" x14ac:dyDescent="0.25">
      <c r="B60" s="9" t="s">
        <v>70</v>
      </c>
      <c r="C60" s="5">
        <f>SUMIF(EneEst2024[CATEGORÍA],$B60,EneEst2024[EGRESO])</f>
        <v>0</v>
      </c>
      <c r="D60" s="5">
        <f>SUMIF(FebEst2024[CATEGORÍA],$B60,FebEst2024[EGRESO])</f>
        <v>0</v>
      </c>
      <c r="E60" s="5">
        <f>SUMIF(FebEst2024[CATEGORÍA],$B60,FebEst2024[EGRESO])</f>
        <v>0</v>
      </c>
      <c r="F60" s="5">
        <f>SUMIF(AbrEst2024[CATEGORÍA],$B60,AbrEst2024[EGRESO])</f>
        <v>0</v>
      </c>
      <c r="G60" s="5">
        <f>SUMIF(MayEst_2024[CATEGORÍA],$B60,MayEst_2024[EGRESO])</f>
        <v>0</v>
      </c>
      <c r="H60" s="5">
        <f>SUMIF(JunEst_2024[CATEGORÍA],$B60,JunEst_2024[EGRESO])</f>
        <v>0</v>
      </c>
      <c r="I60" s="5">
        <f>SUMIF(JulEst_2024[CATEGORÍA],$B60,JulEst_2024[EGRESO])</f>
        <v>0</v>
      </c>
      <c r="J60" s="5">
        <f>SUMIF(AgoEst_2024[CATEGORÍA],$B60,AgoEst_2024[EGRESO])</f>
        <v>0</v>
      </c>
      <c r="K60" s="5">
        <f>SUMIF(SepEst_2024[CATEGORÍA],$B60,SepEst_2024[EGRESO])</f>
        <v>0</v>
      </c>
      <c r="L60" s="5">
        <f>SUMIF(OctEst_2024[CATEGORÍA],$B60,OctEst_2024[EGRESO])</f>
        <v>0</v>
      </c>
      <c r="M60" s="5">
        <f>SUMIF(NovEst_2024[CATEGORÍA],$B60,NovEst_2024[EGRESO])</f>
        <v>0</v>
      </c>
      <c r="N60" s="5">
        <f>SUMIF(DicEst_2024[CATEGORÍA],$B60,DicEst_2024[EGRESO])</f>
        <v>0</v>
      </c>
      <c r="O60" s="12">
        <f>SUM(D60:N60)</f>
        <v>0</v>
      </c>
    </row>
    <row r="61" spans="2:15" s="3" customFormat="1" ht="14.1" customHeight="1" x14ac:dyDescent="0.25">
      <c r="B61" s="9" t="s">
        <v>69</v>
      </c>
      <c r="C61" s="5">
        <f>SUMIF(EneEst2024[CATEGORÍA],$B61,EneEst2024[EGRESO])</f>
        <v>0</v>
      </c>
      <c r="D61" s="5">
        <f>SUMIF(FebEst2024[CATEGORÍA],$B61,FebEst2024[EGRESO])</f>
        <v>0</v>
      </c>
      <c r="E61" s="5">
        <f>SUMIF(FebEst2024[CATEGORÍA],$B61,FebEst2024[EGRESO])</f>
        <v>0</v>
      </c>
      <c r="F61" s="5">
        <f>SUMIF(AbrEst2024[CATEGORÍA],$B61,AbrEst2024[EGRESO])</f>
        <v>0</v>
      </c>
      <c r="G61" s="5">
        <f>SUMIF(MayEst_2024[CATEGORÍA],$B61,MayEst_2024[EGRESO])</f>
        <v>0</v>
      </c>
      <c r="H61" s="5">
        <f>SUMIF(JunEst_2024[CATEGORÍA],$B61,JunEst_2024[EGRESO])</f>
        <v>0</v>
      </c>
      <c r="I61" s="5">
        <f>SUMIF(JulEst_2024[CATEGORÍA],$B61,JulEst_2024[EGRESO])</f>
        <v>0</v>
      </c>
      <c r="J61" s="5">
        <f>SUMIF(AgoEst_2024[CATEGORÍA],$B61,AgoEst_2024[EGRESO])</f>
        <v>0</v>
      </c>
      <c r="K61" s="5">
        <f>SUMIF(SepEst_2024[CATEGORÍA],$B61,SepEst_2024[EGRESO])</f>
        <v>0</v>
      </c>
      <c r="L61" s="5">
        <f>SUMIF(OctEst_2024[CATEGORÍA],$B61,OctEst_2024[EGRESO])</f>
        <v>0</v>
      </c>
      <c r="M61" s="5">
        <f>SUMIF(NovEst_2024[CATEGORÍA],$B61,NovEst_2024[EGRESO])</f>
        <v>0</v>
      </c>
      <c r="N61" s="5">
        <f>SUMIF(DicEst_2024[CATEGORÍA],$B61,DicEst_2024[EGRESO])</f>
        <v>0</v>
      </c>
      <c r="O61" s="12">
        <f t="shared" ref="O61:O64" si="14">SUM(D61:N61)</f>
        <v>0</v>
      </c>
    </row>
    <row r="62" spans="2:15" s="3" customFormat="1" ht="14.1" customHeight="1" x14ac:dyDescent="0.25">
      <c r="B62" s="9" t="s">
        <v>14</v>
      </c>
      <c r="C62" s="5">
        <f>SUMIF(EneEst2024[CATEGORÍA],$B62,EneEst2024[EGRESO])</f>
        <v>0</v>
      </c>
      <c r="D62" s="5">
        <f>SUMIF(FebEst2024[CATEGORÍA],$B62,FebEst2024[EGRESO])</f>
        <v>0</v>
      </c>
      <c r="E62" s="5">
        <f>SUMIF(FebEst2024[CATEGORÍA],$B62,FebEst2024[EGRESO])</f>
        <v>0</v>
      </c>
      <c r="F62" s="5">
        <f>SUMIF(AbrEst2024[CATEGORÍA],$B62,AbrEst2024[EGRESO])</f>
        <v>0</v>
      </c>
      <c r="G62" s="5">
        <f>SUMIF(MayEst_2024[CATEGORÍA],$B62,MayEst_2024[EGRESO])</f>
        <v>0</v>
      </c>
      <c r="H62" s="5">
        <f>SUMIF(JunEst_2024[CATEGORÍA],$B62,JunEst_2024[EGRESO])</f>
        <v>0</v>
      </c>
      <c r="I62" s="5">
        <f>SUMIF(JulEst_2024[CATEGORÍA],$B62,JulEst_2024[EGRESO])</f>
        <v>0</v>
      </c>
      <c r="J62" s="5">
        <f>SUMIF(AgoEst_2024[CATEGORÍA],$B62,AgoEst_2024[EGRESO])</f>
        <v>0</v>
      </c>
      <c r="K62" s="5">
        <f>SUMIF(SepEst_2024[CATEGORÍA],$B62,SepEst_2024[EGRESO])</f>
        <v>0</v>
      </c>
      <c r="L62" s="5">
        <f>SUMIF(OctEst_2024[CATEGORÍA],$B62,OctEst_2024[EGRESO])</f>
        <v>0</v>
      </c>
      <c r="M62" s="5">
        <f>SUMIF(NovEst_2024[CATEGORÍA],$B62,NovEst_2024[EGRESO])</f>
        <v>0</v>
      </c>
      <c r="N62" s="5">
        <f>SUMIF(DicEst_2024[CATEGORÍA],$B62,DicEst_2024[EGRESO])</f>
        <v>0</v>
      </c>
      <c r="O62" s="12">
        <f t="shared" si="14"/>
        <v>0</v>
      </c>
    </row>
    <row r="63" spans="2:15" s="3" customFormat="1" ht="14.1" customHeight="1" x14ac:dyDescent="0.25">
      <c r="B63" s="9" t="s">
        <v>51</v>
      </c>
      <c r="C63" s="5">
        <f>SUMIF(EneEst2024[CATEGORÍA],$B63,EneEst2024[EGRESO])</f>
        <v>0</v>
      </c>
      <c r="D63" s="5">
        <f>SUMIF(FebEst2024[CATEGORÍA],$B63,FebEst2024[EGRESO])</f>
        <v>0</v>
      </c>
      <c r="E63" s="5">
        <f>SUMIF(FebEst2024[CATEGORÍA],$B63,FebEst2024[EGRESO])</f>
        <v>0</v>
      </c>
      <c r="F63" s="5">
        <f>SUMIF(AbrEst2024[CATEGORÍA],$B63,AbrEst2024[EGRESO])</f>
        <v>0</v>
      </c>
      <c r="G63" s="5">
        <f>SUMIF(MayEst_2024[CATEGORÍA],$B63,MayEst_2024[EGRESO])</f>
        <v>0</v>
      </c>
      <c r="H63" s="5">
        <f>SUMIF(JunEst_2024[CATEGORÍA],$B63,JunEst_2024[EGRESO])</f>
        <v>0</v>
      </c>
      <c r="I63" s="5">
        <f>SUMIF(JulEst_2024[CATEGORÍA],$B63,JulEst_2024[EGRESO])</f>
        <v>0</v>
      </c>
      <c r="J63" s="5">
        <f>SUMIF(AgoEst_2024[CATEGORÍA],$B63,AgoEst_2024[EGRESO])</f>
        <v>0</v>
      </c>
      <c r="K63" s="5">
        <f>SUMIF(SepEst_2024[CATEGORÍA],$B63,SepEst_2024[EGRESO])</f>
        <v>0</v>
      </c>
      <c r="L63" s="5">
        <f>SUMIF(OctEst_2024[CATEGORÍA],$B63,OctEst_2024[EGRESO])</f>
        <v>0</v>
      </c>
      <c r="M63" s="5">
        <f>SUMIF(NovEst_2024[CATEGORÍA],$B63,NovEst_2024[EGRESO])</f>
        <v>0</v>
      </c>
      <c r="N63" s="5">
        <f>SUMIF(DicEst_2024[CATEGORÍA],$B63,DicEst_2024[EGRESO])</f>
        <v>0</v>
      </c>
      <c r="O63" s="12">
        <f t="shared" si="14"/>
        <v>0</v>
      </c>
    </row>
    <row r="64" spans="2:15" s="3" customFormat="1" ht="14.1" customHeight="1" x14ac:dyDescent="0.25">
      <c r="B64" s="9" t="s">
        <v>81</v>
      </c>
      <c r="C64" s="5">
        <f>SUMIF(EneEst2024[CATEGORÍA],$B64,EneEst2024[EGRESO])</f>
        <v>0</v>
      </c>
      <c r="D64" s="5">
        <f>SUMIF(FebEst2024[CATEGORÍA],$B64,FebEst2024[EGRESO])</f>
        <v>0</v>
      </c>
      <c r="E64" s="5">
        <f>SUMIF(FebEst2024[CATEGORÍA],$B64,FebEst2024[EGRESO])</f>
        <v>0</v>
      </c>
      <c r="F64" s="5">
        <f>SUMIF(AbrEst2024[CATEGORÍA],$B64,AbrEst2024[EGRESO])</f>
        <v>0</v>
      </c>
      <c r="G64" s="5">
        <f>SUMIF(MayEst_2024[CATEGORÍA],$B64,MayEst_2024[EGRESO])</f>
        <v>0</v>
      </c>
      <c r="H64" s="5">
        <f>SUMIF(JunEst_2024[CATEGORÍA],$B64,JunEst_2024[EGRESO])</f>
        <v>0</v>
      </c>
      <c r="I64" s="5">
        <f>SUMIF(JulEst_2024[CATEGORÍA],$B64,JulEst_2024[EGRESO])</f>
        <v>0</v>
      </c>
      <c r="J64" s="5">
        <f>SUMIF(AgoEst_2024[CATEGORÍA],$B64,AgoEst_2024[EGRESO])</f>
        <v>0</v>
      </c>
      <c r="K64" s="5">
        <f>SUMIF(SepEst_2024[CATEGORÍA],$B64,SepEst_2024[EGRESO])</f>
        <v>0</v>
      </c>
      <c r="L64" s="5">
        <f>SUMIF(OctEst_2024[CATEGORÍA],$B64,OctEst_2024[EGRESO])</f>
        <v>0</v>
      </c>
      <c r="M64" s="5">
        <f>SUMIF(NovEst_2024[CATEGORÍA],$B64,NovEst_2024[EGRESO])</f>
        <v>0</v>
      </c>
      <c r="N64" s="5">
        <f>SUMIF(DicEst_2024[CATEGORÍA],$B64,DicEst_2024[EGRESO])</f>
        <v>0</v>
      </c>
      <c r="O64" s="12">
        <f t="shared" si="14"/>
        <v>0</v>
      </c>
    </row>
    <row r="65" spans="2:15" s="3" customFormat="1" ht="14.1" customHeight="1" x14ac:dyDescent="0.25">
      <c r="B65" s="9"/>
      <c r="C65" s="20">
        <f>SUM(C60:C64)</f>
        <v>0</v>
      </c>
      <c r="D65" s="20">
        <f t="shared" ref="D65:O65" si="15">SUM(D60:D64)</f>
        <v>0</v>
      </c>
      <c r="E65" s="20">
        <f>SUM(E60:E64)</f>
        <v>0</v>
      </c>
      <c r="F65" s="20">
        <f t="shared" si="15"/>
        <v>0</v>
      </c>
      <c r="G65" s="20">
        <f t="shared" si="15"/>
        <v>0</v>
      </c>
      <c r="H65" s="20">
        <f t="shared" si="15"/>
        <v>0</v>
      </c>
      <c r="I65" s="20">
        <f t="shared" si="15"/>
        <v>0</v>
      </c>
      <c r="J65" s="20">
        <f t="shared" si="15"/>
        <v>0</v>
      </c>
      <c r="K65" s="20">
        <f t="shared" si="15"/>
        <v>0</v>
      </c>
      <c r="L65" s="20">
        <f t="shared" si="15"/>
        <v>0</v>
      </c>
      <c r="M65" s="20">
        <f t="shared" si="15"/>
        <v>0</v>
      </c>
      <c r="N65" s="20">
        <f t="shared" si="15"/>
        <v>0</v>
      </c>
      <c r="O65" s="20">
        <f t="shared" si="15"/>
        <v>0</v>
      </c>
    </row>
    <row r="66" spans="2:15" s="3" customFormat="1" ht="14.1" customHeight="1" x14ac:dyDescent="0.25">
      <c r="B66" s="18" t="s">
        <v>49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11"/>
    </row>
    <row r="67" spans="2:15" s="3" customFormat="1" ht="14.1" customHeight="1" x14ac:dyDescent="0.25">
      <c r="B67" s="9" t="s">
        <v>50</v>
      </c>
      <c r="C67" s="5">
        <f>SUMIF(EneEst2024[CATEGORÍA],$B67,EneEst2024[EGRESO])</f>
        <v>0</v>
      </c>
      <c r="D67" s="5">
        <f>SUMIF(FebEst2024[CATEGORÍA],$B67,FebEst2024[EGRESO])</f>
        <v>0</v>
      </c>
      <c r="E67" s="5">
        <f>SUMIF(FebEst2024[CATEGORÍA],$B67,FebEst2024[EGRESO])</f>
        <v>0</v>
      </c>
      <c r="F67" s="5">
        <f>SUMIF(AbrEst2024[CATEGORÍA],$B67,AbrEst2024[EGRESO])</f>
        <v>0</v>
      </c>
      <c r="G67" s="5">
        <f>SUMIF(MayEst_2024[CATEGORÍA],$B67,MayEst_2024[EGRESO])</f>
        <v>0</v>
      </c>
      <c r="H67" s="5">
        <f>SUMIF(JunEst_2024[CATEGORÍA],$B67,JunEst_2024[EGRESO])</f>
        <v>0</v>
      </c>
      <c r="I67" s="5">
        <f>SUMIF(JulEst_2024[CATEGORÍA],$B67,JulEst_2024[EGRESO])</f>
        <v>0</v>
      </c>
      <c r="J67" s="5">
        <f>SUMIF(AgoEst_2024[CATEGORÍA],$B67,AgoEst_2024[EGRESO])</f>
        <v>0</v>
      </c>
      <c r="K67" s="5">
        <f>SUMIF(SepEst_2024[CATEGORÍA],$B67,SepEst_2024[EGRESO])</f>
        <v>0</v>
      </c>
      <c r="L67" s="5">
        <f>SUMIF(OctEst_2024[CATEGORÍA],$B67,OctEst_2024[EGRESO])</f>
        <v>0</v>
      </c>
      <c r="M67" s="5">
        <f>SUMIF(NovEst_2024[CATEGORÍA],$B67,NovEst_2024[EGRESO])</f>
        <v>0</v>
      </c>
      <c r="N67" s="5">
        <f>SUMIF(DicEst_2024[CATEGORÍA],$B67,DicEst_2024[EGRESO])</f>
        <v>0</v>
      </c>
      <c r="O67" s="12">
        <f>SUM(D67:N67)</f>
        <v>0</v>
      </c>
    </row>
    <row r="68" spans="2:15" s="3" customFormat="1" ht="14.1" customHeight="1" x14ac:dyDescent="0.25">
      <c r="B68" s="9" t="s">
        <v>71</v>
      </c>
      <c r="C68" s="5">
        <f>SUMIF(EneEst2024[CATEGORÍA],$B68,EneEst2024[EGRESO])</f>
        <v>0</v>
      </c>
      <c r="D68" s="5">
        <f>SUMIF(FebEst2024[CATEGORÍA],$B68,FebEst2024[EGRESO])</f>
        <v>0</v>
      </c>
      <c r="E68" s="5">
        <f>SUMIF(FebEst2024[CATEGORÍA],$B68,FebEst2024[EGRESO])</f>
        <v>0</v>
      </c>
      <c r="F68" s="5">
        <f>SUMIF(AbrEst2024[CATEGORÍA],$B68,AbrEst2024[EGRESO])</f>
        <v>0</v>
      </c>
      <c r="G68" s="5">
        <f>SUMIF(MayEst_2024[CATEGORÍA],$B68,MayEst_2024[EGRESO])</f>
        <v>0</v>
      </c>
      <c r="H68" s="5">
        <f>SUMIF(JunEst_2024[CATEGORÍA],$B68,JunEst_2024[EGRESO])</f>
        <v>0</v>
      </c>
      <c r="I68" s="5">
        <f>SUMIF(JulEst_2024[CATEGORÍA],$B68,JulEst_2024[EGRESO])</f>
        <v>0</v>
      </c>
      <c r="J68" s="5">
        <f>SUMIF(AgoEst_2024[CATEGORÍA],$B68,AgoEst_2024[EGRESO])</f>
        <v>0</v>
      </c>
      <c r="K68" s="5">
        <f>SUMIF(SepEst_2024[CATEGORÍA],$B68,SepEst_2024[EGRESO])</f>
        <v>0</v>
      </c>
      <c r="L68" s="5">
        <f>SUMIF(OctEst_2024[CATEGORÍA],$B68,OctEst_2024[EGRESO])</f>
        <v>0</v>
      </c>
      <c r="M68" s="5">
        <f>SUMIF(NovEst_2024[CATEGORÍA],$B68,NovEst_2024[EGRESO])</f>
        <v>0</v>
      </c>
      <c r="N68" s="5">
        <f>SUMIF(DicEst_2024[CATEGORÍA],$B68,DicEst_2024[EGRESO])</f>
        <v>0</v>
      </c>
      <c r="O68" s="12">
        <f t="shared" ref="O68:O71" si="16">SUM(D68:N68)</f>
        <v>0</v>
      </c>
    </row>
    <row r="69" spans="2:15" s="3" customFormat="1" ht="14.1" customHeight="1" x14ac:dyDescent="0.25">
      <c r="B69" s="9" t="s">
        <v>52</v>
      </c>
      <c r="C69" s="5">
        <f>SUMIF(EneEst2024[CATEGORÍA],$B69,EneEst2024[EGRESO])</f>
        <v>0</v>
      </c>
      <c r="D69" s="5">
        <f>SUMIF(FebEst2024[CATEGORÍA],$B69,FebEst2024[EGRESO])</f>
        <v>0</v>
      </c>
      <c r="E69" s="5">
        <f>SUMIF(FebEst2024[CATEGORÍA],$B69,FebEst2024[EGRESO])</f>
        <v>0</v>
      </c>
      <c r="F69" s="5">
        <f>SUMIF(AbrEst2024[CATEGORÍA],$B69,AbrEst2024[EGRESO])</f>
        <v>0</v>
      </c>
      <c r="G69" s="5">
        <f>SUMIF(MayEst_2024[CATEGORÍA],$B69,MayEst_2024[EGRESO])</f>
        <v>0</v>
      </c>
      <c r="H69" s="5">
        <f>SUMIF(JunEst_2024[CATEGORÍA],$B69,JunEst_2024[EGRESO])</f>
        <v>0</v>
      </c>
      <c r="I69" s="5">
        <f>SUMIF(JulEst_2024[CATEGORÍA],$B69,JulEst_2024[EGRESO])</f>
        <v>0</v>
      </c>
      <c r="J69" s="5">
        <f>SUMIF(AgoEst_2024[CATEGORÍA],$B69,AgoEst_2024[EGRESO])</f>
        <v>0</v>
      </c>
      <c r="K69" s="5">
        <f>SUMIF(SepEst_2024[CATEGORÍA],$B69,SepEst_2024[EGRESO])</f>
        <v>0</v>
      </c>
      <c r="L69" s="5">
        <f>SUMIF(OctEst_2024[CATEGORÍA],$B69,OctEst_2024[EGRESO])</f>
        <v>0</v>
      </c>
      <c r="M69" s="5">
        <f>SUMIF(NovEst_2024[CATEGORÍA],$B69,NovEst_2024[EGRESO])</f>
        <v>0</v>
      </c>
      <c r="N69" s="5">
        <f>SUMIF(DicEst_2024[CATEGORÍA],$B69,DicEst_2024[EGRESO])</f>
        <v>0</v>
      </c>
      <c r="O69" s="12">
        <f t="shared" si="16"/>
        <v>0</v>
      </c>
    </row>
    <row r="70" spans="2:15" s="3" customFormat="1" ht="14.1" customHeight="1" x14ac:dyDescent="0.25">
      <c r="B70" s="9" t="s">
        <v>83</v>
      </c>
      <c r="C70" s="5">
        <f>SUMIF(EneEst2024[CATEGORÍA],$B70,EneEst2024[EGRESO])</f>
        <v>0</v>
      </c>
      <c r="D70" s="5">
        <f>SUMIF(FebEst2024[CATEGORÍA],$B70,FebEst2024[EGRESO])</f>
        <v>0</v>
      </c>
      <c r="E70" s="5">
        <f>SUMIF(FebEst2024[CATEGORÍA],$B70,FebEst2024[EGRESO])</f>
        <v>0</v>
      </c>
      <c r="F70" s="5">
        <f>SUMIF(AbrEst2024[CATEGORÍA],$B70,AbrEst2024[EGRESO])</f>
        <v>0</v>
      </c>
      <c r="G70" s="5">
        <f>SUMIF(MayEst_2024[CATEGORÍA],$B70,MayEst_2024[EGRESO])</f>
        <v>0</v>
      </c>
      <c r="H70" s="5">
        <f>SUMIF(JunEst_2024[CATEGORÍA],$B70,JunEst_2024[EGRESO])</f>
        <v>0</v>
      </c>
      <c r="I70" s="5">
        <f>SUMIF(JulEst_2024[CATEGORÍA],$B70,JulEst_2024[EGRESO])</f>
        <v>0</v>
      </c>
      <c r="J70" s="5">
        <f>SUMIF(AgoEst_2024[CATEGORÍA],$B70,AgoEst_2024[EGRESO])</f>
        <v>0</v>
      </c>
      <c r="K70" s="5">
        <f>SUMIF(SepEst_2024[CATEGORÍA],$B70,SepEst_2024[EGRESO])</f>
        <v>0</v>
      </c>
      <c r="L70" s="5">
        <f>SUMIF(OctEst_2024[CATEGORÍA],$B70,OctEst_2024[EGRESO])</f>
        <v>0</v>
      </c>
      <c r="M70" s="5">
        <f>SUMIF(NovEst_2024[CATEGORÍA],$B70,NovEst_2024[EGRESO])</f>
        <v>0</v>
      </c>
      <c r="N70" s="5">
        <f>SUMIF(DicEst_2024[CATEGORÍA],$B70,DicEst_2024[EGRESO])</f>
        <v>0</v>
      </c>
      <c r="O70" s="12">
        <f t="shared" si="16"/>
        <v>0</v>
      </c>
    </row>
    <row r="71" spans="2:15" s="3" customFormat="1" ht="14.1" customHeight="1" x14ac:dyDescent="0.25">
      <c r="B71" s="9" t="s">
        <v>53</v>
      </c>
      <c r="C71" s="5">
        <f>SUMIF(EneEst2024[CATEGORÍA],$B71,EneEst2024[EGRESO])</f>
        <v>0</v>
      </c>
      <c r="D71" s="5">
        <f>SUMIF(FebEst2024[CATEGORÍA],$B71,FebEst2024[EGRESO])</f>
        <v>0</v>
      </c>
      <c r="E71" s="5">
        <f>SUMIF(FebEst2024[CATEGORÍA],$B71,FebEst2024[EGRESO])</f>
        <v>0</v>
      </c>
      <c r="F71" s="5">
        <f>SUMIF(AbrEst2024[CATEGORÍA],$B71,AbrEst2024[EGRESO])</f>
        <v>0</v>
      </c>
      <c r="G71" s="5">
        <f>SUMIF(MayEst_2024[CATEGORÍA],$B71,MayEst_2024[EGRESO])</f>
        <v>0</v>
      </c>
      <c r="H71" s="5">
        <f>SUMIF(JunEst_2024[CATEGORÍA],$B71,JunEst_2024[EGRESO])</f>
        <v>0</v>
      </c>
      <c r="I71" s="5">
        <f>SUMIF(JulEst_2024[CATEGORÍA],$B71,JulEst_2024[EGRESO])</f>
        <v>0</v>
      </c>
      <c r="J71" s="5">
        <f>SUMIF(AgoEst_2024[CATEGORÍA],$B71,AgoEst_2024[EGRESO])</f>
        <v>0</v>
      </c>
      <c r="K71" s="5">
        <f>SUMIF(SepEst_2024[CATEGORÍA],$B71,SepEst_2024[EGRESO])</f>
        <v>0</v>
      </c>
      <c r="L71" s="5">
        <f>SUMIF(OctEst_2024[CATEGORÍA],$B71,OctEst_2024[EGRESO])</f>
        <v>0</v>
      </c>
      <c r="M71" s="5">
        <f>SUMIF(NovEst_2024[CATEGORÍA],$B71,NovEst_2024[EGRESO])</f>
        <v>0</v>
      </c>
      <c r="N71" s="5">
        <f>SUMIF(DicEst_2024[CATEGORÍA],$B71,DicEst_2024[EGRESO])</f>
        <v>0</v>
      </c>
      <c r="O71" s="12">
        <f t="shared" si="16"/>
        <v>0</v>
      </c>
    </row>
    <row r="72" spans="2:15" s="3" customFormat="1" ht="14.1" customHeight="1" x14ac:dyDescent="0.25">
      <c r="B72" s="9"/>
      <c r="C72" s="20">
        <f>SUM(C67:C71)</f>
        <v>0</v>
      </c>
      <c r="D72" s="20">
        <f>SUM(D67:D71)</f>
        <v>0</v>
      </c>
      <c r="E72" s="20">
        <f>SUM(E67:E71)</f>
        <v>0</v>
      </c>
      <c r="F72" s="20">
        <f t="shared" ref="F72:I72" si="17">SUM(F67:F71)</f>
        <v>0</v>
      </c>
      <c r="G72" s="20">
        <f t="shared" si="17"/>
        <v>0</v>
      </c>
      <c r="H72" s="20">
        <f t="shared" si="17"/>
        <v>0</v>
      </c>
      <c r="I72" s="20">
        <f t="shared" si="17"/>
        <v>0</v>
      </c>
      <c r="J72" s="20">
        <f>SUM(J67:J71)</f>
        <v>0</v>
      </c>
      <c r="K72" s="20">
        <f t="shared" ref="K72" si="18">SUM(K67:K71)</f>
        <v>0</v>
      </c>
      <c r="L72" s="20">
        <f t="shared" ref="L72" si="19">SUM(L67:L71)</f>
        <v>0</v>
      </c>
      <c r="M72" s="20">
        <f t="shared" ref="M72" si="20">SUM(M67:M71)</f>
        <v>0</v>
      </c>
      <c r="N72" s="20">
        <f t="shared" ref="N72:O72" si="21">SUM(N67:N71)</f>
        <v>0</v>
      </c>
      <c r="O72" s="20">
        <f t="shared" si="21"/>
        <v>0</v>
      </c>
    </row>
    <row r="73" spans="2:15" s="3" customFormat="1" ht="14.1" customHeight="1" x14ac:dyDescent="0.25">
      <c r="B73" s="9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11"/>
    </row>
    <row r="74" spans="2:15" s="3" customFormat="1" ht="14.1" customHeight="1" x14ac:dyDescent="0.25">
      <c r="B74" s="24" t="s">
        <v>8</v>
      </c>
      <c r="C74" s="25">
        <f>C72+C65+C58+C47</f>
        <v>0</v>
      </c>
      <c r="D74" s="25">
        <f t="shared" ref="D74:O74" si="22">D72+D65+D58+D47</f>
        <v>0</v>
      </c>
      <c r="E74" s="25">
        <f t="shared" si="22"/>
        <v>0</v>
      </c>
      <c r="F74" s="25">
        <f t="shared" si="22"/>
        <v>0</v>
      </c>
      <c r="G74" s="25">
        <f t="shared" si="22"/>
        <v>0</v>
      </c>
      <c r="H74" s="25">
        <f t="shared" si="22"/>
        <v>0</v>
      </c>
      <c r="I74" s="25">
        <f t="shared" si="22"/>
        <v>0</v>
      </c>
      <c r="J74" s="25">
        <f t="shared" si="22"/>
        <v>0</v>
      </c>
      <c r="K74" s="25">
        <f>K72+K65+K58+K47</f>
        <v>0</v>
      </c>
      <c r="L74" s="25">
        <f t="shared" si="22"/>
        <v>0</v>
      </c>
      <c r="M74" s="25">
        <f t="shared" si="22"/>
        <v>0</v>
      </c>
      <c r="N74" s="25">
        <f t="shared" si="22"/>
        <v>0</v>
      </c>
      <c r="O74" s="25">
        <f t="shared" si="22"/>
        <v>0</v>
      </c>
    </row>
    <row r="75" spans="2:15" ht="11.1" customHeight="1" x14ac:dyDescent="0.25"/>
    <row r="76" spans="2:15" ht="15.6" customHeight="1" x14ac:dyDescent="0.25">
      <c r="B76" s="76" t="s">
        <v>120</v>
      </c>
      <c r="C76" s="77"/>
      <c r="D76" s="77"/>
      <c r="E76" s="77"/>
      <c r="F76" s="77"/>
      <c r="G76" s="77"/>
      <c r="H76" s="77"/>
      <c r="I76" s="77"/>
      <c r="J76" s="77"/>
      <c r="K76" s="77"/>
      <c r="L76" s="77"/>
    </row>
    <row r="77" spans="2:15" ht="15.6" customHeight="1" x14ac:dyDescent="0.25">
      <c r="B77" s="36" t="s">
        <v>16</v>
      </c>
      <c r="C77" s="37" t="s">
        <v>17</v>
      </c>
      <c r="D77" s="46" t="s">
        <v>73</v>
      </c>
      <c r="E77" s="46" t="s">
        <v>74</v>
      </c>
      <c r="F77" s="37" t="s">
        <v>54</v>
      </c>
      <c r="G77" s="37" t="s">
        <v>76</v>
      </c>
      <c r="H77" s="37" t="s">
        <v>77</v>
      </c>
      <c r="I77" s="37" t="s">
        <v>75</v>
      </c>
      <c r="J77" s="37" t="s">
        <v>18</v>
      </c>
      <c r="K77" s="37" t="s">
        <v>64</v>
      </c>
      <c r="L77" s="37" t="s">
        <v>19</v>
      </c>
    </row>
    <row r="78" spans="2:15" ht="15.6" customHeight="1" x14ac:dyDescent="0.25">
      <c r="B78" s="38"/>
      <c r="C78" s="44"/>
      <c r="D78" s="35"/>
      <c r="E78" s="35"/>
      <c r="F78" s="38"/>
      <c r="G78" s="41"/>
      <c r="H78" s="41"/>
      <c r="I78" s="42"/>
      <c r="J78" s="41"/>
      <c r="K78" s="41"/>
      <c r="L78" s="28">
        <f t="shared" ref="L78:L111" ca="1" si="23">IF(ISERROR(OFFSET(L78,-1,0,1,1)+D78-E78),D78-E78,OFFSET(L78,-1,0,1,1)+D78-E78)</f>
        <v>0</v>
      </c>
    </row>
    <row r="79" spans="2:15" ht="15.6" customHeight="1" x14ac:dyDescent="0.25">
      <c r="B79" s="38"/>
      <c r="C79" s="44"/>
      <c r="D79" s="35"/>
      <c r="E79" s="35"/>
      <c r="F79" s="40"/>
      <c r="G79" s="41"/>
      <c r="H79" s="41"/>
      <c r="I79" s="42"/>
      <c r="J79" s="41"/>
      <c r="K79" s="40"/>
      <c r="L79" s="28">
        <f t="shared" ca="1" si="23"/>
        <v>0</v>
      </c>
    </row>
    <row r="80" spans="2:15" ht="15.6" customHeight="1" x14ac:dyDescent="0.25">
      <c r="B80" s="38"/>
      <c r="C80" s="44"/>
      <c r="D80" s="35"/>
      <c r="E80" s="35"/>
      <c r="F80" s="40"/>
      <c r="G80" s="41"/>
      <c r="H80" s="41"/>
      <c r="I80" s="42"/>
      <c r="J80" s="41"/>
      <c r="K80" s="40"/>
      <c r="L80" s="28">
        <f t="shared" ca="1" si="23"/>
        <v>0</v>
      </c>
    </row>
    <row r="81" spans="2:12" ht="15.6" customHeight="1" x14ac:dyDescent="0.25">
      <c r="B81" s="38"/>
      <c r="C81" s="44"/>
      <c r="D81" s="35"/>
      <c r="E81" s="35"/>
      <c r="F81" s="40"/>
      <c r="G81" s="41"/>
      <c r="H81" s="41"/>
      <c r="I81" s="42"/>
      <c r="J81" s="41"/>
      <c r="K81" s="40"/>
      <c r="L81" s="28">
        <f t="shared" ca="1" si="23"/>
        <v>0</v>
      </c>
    </row>
    <row r="82" spans="2:12" ht="15.6" customHeight="1" x14ac:dyDescent="0.25">
      <c r="B82" s="38"/>
      <c r="C82" s="44"/>
      <c r="D82" s="35"/>
      <c r="E82" s="35"/>
      <c r="F82" s="38"/>
      <c r="G82" s="41"/>
      <c r="H82" s="41"/>
      <c r="I82" s="42"/>
      <c r="J82" s="41"/>
      <c r="K82" s="40"/>
      <c r="L82" s="28">
        <f t="shared" ca="1" si="23"/>
        <v>0</v>
      </c>
    </row>
    <row r="83" spans="2:12" ht="15.6" customHeight="1" x14ac:dyDescent="0.25">
      <c r="B83" s="38"/>
      <c r="C83" s="44"/>
      <c r="D83" s="35"/>
      <c r="E83" s="35"/>
      <c r="F83" s="38"/>
      <c r="G83" s="41"/>
      <c r="H83" s="41"/>
      <c r="I83" s="42"/>
      <c r="J83" s="41"/>
      <c r="K83" s="40"/>
      <c r="L83" s="28">
        <f t="shared" ca="1" si="23"/>
        <v>0</v>
      </c>
    </row>
    <row r="84" spans="2:12" ht="15.6" customHeight="1" x14ac:dyDescent="0.25">
      <c r="B84" s="38"/>
      <c r="C84" s="44"/>
      <c r="D84" s="35"/>
      <c r="E84" s="35"/>
      <c r="F84" s="38"/>
      <c r="G84" s="41"/>
      <c r="H84" s="41"/>
      <c r="I84" s="42"/>
      <c r="J84" s="41"/>
      <c r="K84" s="40"/>
      <c r="L84" s="28">
        <f t="shared" ca="1" si="23"/>
        <v>0</v>
      </c>
    </row>
    <row r="85" spans="2:12" ht="15.6" customHeight="1" x14ac:dyDescent="0.25">
      <c r="B85" s="38"/>
      <c r="C85" s="44"/>
      <c r="D85" s="35"/>
      <c r="E85" s="35"/>
      <c r="F85" s="38"/>
      <c r="G85" s="41"/>
      <c r="H85" s="41"/>
      <c r="I85" s="42"/>
      <c r="J85" s="41"/>
      <c r="K85" s="40"/>
      <c r="L85" s="28">
        <f t="shared" ca="1" si="23"/>
        <v>0</v>
      </c>
    </row>
    <row r="86" spans="2:12" ht="15.6" customHeight="1" x14ac:dyDescent="0.25">
      <c r="B86" s="38"/>
      <c r="C86" s="44"/>
      <c r="D86" s="35"/>
      <c r="E86" s="35"/>
      <c r="F86" s="38"/>
      <c r="G86" s="41"/>
      <c r="H86" s="41"/>
      <c r="I86" s="42"/>
      <c r="J86" s="41"/>
      <c r="K86" s="40"/>
      <c r="L86" s="28">
        <f t="shared" ca="1" si="23"/>
        <v>0</v>
      </c>
    </row>
    <row r="87" spans="2:12" ht="15.6" customHeight="1" x14ac:dyDescent="0.25">
      <c r="B87" s="38"/>
      <c r="C87" s="44"/>
      <c r="D87" s="35"/>
      <c r="E87" s="35"/>
      <c r="F87" s="40"/>
      <c r="G87" s="41"/>
      <c r="H87" s="41"/>
      <c r="I87" s="42"/>
      <c r="J87" s="41"/>
      <c r="K87" s="40"/>
      <c r="L87" s="28">
        <f t="shared" ca="1" si="23"/>
        <v>0</v>
      </c>
    </row>
    <row r="88" spans="2:12" ht="15.6" customHeight="1" x14ac:dyDescent="0.25">
      <c r="B88" s="38"/>
      <c r="C88" s="44"/>
      <c r="D88" s="35"/>
      <c r="E88" s="35"/>
      <c r="F88" s="40"/>
      <c r="G88" s="41"/>
      <c r="H88" s="41"/>
      <c r="I88" s="42"/>
      <c r="J88" s="41"/>
      <c r="K88" s="40"/>
      <c r="L88" s="28">
        <f t="shared" ca="1" si="23"/>
        <v>0</v>
      </c>
    </row>
    <row r="89" spans="2:12" ht="15.6" customHeight="1" x14ac:dyDescent="0.25">
      <c r="B89" s="38"/>
      <c r="C89" s="44"/>
      <c r="D89" s="35"/>
      <c r="E89" s="35"/>
      <c r="F89" s="40"/>
      <c r="G89" s="41"/>
      <c r="H89" s="41"/>
      <c r="I89" s="42"/>
      <c r="J89" s="41"/>
      <c r="K89" s="40"/>
      <c r="L89" s="28">
        <f t="shared" ca="1" si="23"/>
        <v>0</v>
      </c>
    </row>
    <row r="90" spans="2:12" ht="15.6" customHeight="1" x14ac:dyDescent="0.25">
      <c r="B90" s="38"/>
      <c r="C90" s="44"/>
      <c r="D90" s="35"/>
      <c r="E90" s="35"/>
      <c r="F90" s="38"/>
      <c r="G90" s="41"/>
      <c r="H90" s="41"/>
      <c r="I90" s="42"/>
      <c r="J90" s="41"/>
      <c r="K90" s="40"/>
      <c r="L90" s="28">
        <f t="shared" ca="1" si="23"/>
        <v>0</v>
      </c>
    </row>
    <row r="91" spans="2:12" ht="15.6" customHeight="1" x14ac:dyDescent="0.25">
      <c r="B91" s="38"/>
      <c r="C91" s="44"/>
      <c r="D91" s="35"/>
      <c r="E91" s="35"/>
      <c r="F91" s="38"/>
      <c r="G91" s="41"/>
      <c r="H91" s="41"/>
      <c r="I91" s="42"/>
      <c r="J91" s="41"/>
      <c r="K91" s="40"/>
      <c r="L91" s="28">
        <f t="shared" ca="1" si="23"/>
        <v>0</v>
      </c>
    </row>
    <row r="92" spans="2:12" ht="15.6" customHeight="1" x14ac:dyDescent="0.25">
      <c r="B92" s="38"/>
      <c r="C92" s="44"/>
      <c r="D92" s="35"/>
      <c r="E92" s="35"/>
      <c r="F92" s="38"/>
      <c r="G92" s="41"/>
      <c r="H92" s="41"/>
      <c r="I92" s="42"/>
      <c r="J92" s="41"/>
      <c r="K92" s="40"/>
      <c r="L92" s="28">
        <f t="shared" ca="1" si="23"/>
        <v>0</v>
      </c>
    </row>
    <row r="93" spans="2:12" ht="15.6" customHeight="1" x14ac:dyDescent="0.25">
      <c r="B93" s="38"/>
      <c r="C93" s="44"/>
      <c r="D93" s="35"/>
      <c r="E93" s="35"/>
      <c r="F93" s="38"/>
      <c r="G93" s="41"/>
      <c r="H93" s="41"/>
      <c r="I93" s="42"/>
      <c r="J93" s="41"/>
      <c r="K93" s="40"/>
      <c r="L93" s="28">
        <f t="shared" ca="1" si="23"/>
        <v>0</v>
      </c>
    </row>
    <row r="94" spans="2:12" ht="15.6" customHeight="1" x14ac:dyDescent="0.25">
      <c r="B94" s="38"/>
      <c r="C94" s="44"/>
      <c r="D94" s="35"/>
      <c r="E94" s="35"/>
      <c r="F94" s="38"/>
      <c r="G94" s="41"/>
      <c r="H94" s="41"/>
      <c r="I94" s="42"/>
      <c r="J94" s="41"/>
      <c r="K94" s="40"/>
      <c r="L94" s="28">
        <f t="shared" ca="1" si="23"/>
        <v>0</v>
      </c>
    </row>
    <row r="95" spans="2:12" ht="15.6" customHeight="1" x14ac:dyDescent="0.25">
      <c r="B95" s="38"/>
      <c r="C95" s="44"/>
      <c r="D95" s="35"/>
      <c r="E95" s="35"/>
      <c r="F95" s="40"/>
      <c r="G95" s="41"/>
      <c r="H95" s="41"/>
      <c r="I95" s="42"/>
      <c r="J95" s="41"/>
      <c r="K95" s="40"/>
      <c r="L95" s="28">
        <f t="shared" ca="1" si="23"/>
        <v>0</v>
      </c>
    </row>
    <row r="96" spans="2:12" ht="15.6" customHeight="1" x14ac:dyDescent="0.25">
      <c r="B96" s="38"/>
      <c r="C96" s="44"/>
      <c r="D96" s="35"/>
      <c r="E96" s="35"/>
      <c r="F96" s="40"/>
      <c r="G96" s="41"/>
      <c r="H96" s="41"/>
      <c r="I96" s="42"/>
      <c r="J96" s="41"/>
      <c r="K96" s="40"/>
      <c r="L96" s="28">
        <f t="shared" ca="1" si="23"/>
        <v>0</v>
      </c>
    </row>
    <row r="97" spans="2:12" ht="15.6" customHeight="1" x14ac:dyDescent="0.25">
      <c r="B97" s="38"/>
      <c r="C97" s="44"/>
      <c r="D97" s="35"/>
      <c r="E97" s="35"/>
      <c r="F97" s="40"/>
      <c r="G97" s="41"/>
      <c r="H97" s="41"/>
      <c r="I97" s="42"/>
      <c r="J97" s="41"/>
      <c r="K97" s="40"/>
      <c r="L97" s="28">
        <f t="shared" ca="1" si="23"/>
        <v>0</v>
      </c>
    </row>
    <row r="98" spans="2:12" ht="15.6" customHeight="1" x14ac:dyDescent="0.25">
      <c r="B98" s="38"/>
      <c r="C98" s="44"/>
      <c r="D98" s="35"/>
      <c r="E98" s="35"/>
      <c r="F98" s="38"/>
      <c r="G98" s="41"/>
      <c r="H98" s="41"/>
      <c r="I98" s="42"/>
      <c r="J98" s="41"/>
      <c r="K98" s="40"/>
      <c r="L98" s="28">
        <f t="shared" ca="1" si="23"/>
        <v>0</v>
      </c>
    </row>
    <row r="99" spans="2:12" ht="15.6" customHeight="1" x14ac:dyDescent="0.25">
      <c r="B99" s="38"/>
      <c r="C99" s="44"/>
      <c r="D99" s="35"/>
      <c r="E99" s="35"/>
      <c r="F99" s="38"/>
      <c r="G99" s="41"/>
      <c r="H99" s="41"/>
      <c r="I99" s="42"/>
      <c r="J99" s="41"/>
      <c r="K99" s="40"/>
      <c r="L99" s="28">
        <f t="shared" ref="L99:L106" ca="1" si="24">IF(ISERROR(OFFSET(L99,-1,0,1,1)+D99-E99),D99-E99,OFFSET(L99,-1,0,1,1)+D99-E99)</f>
        <v>0</v>
      </c>
    </row>
    <row r="100" spans="2:12" ht="15.6" customHeight="1" x14ac:dyDescent="0.25">
      <c r="B100" s="38"/>
      <c r="C100" s="44"/>
      <c r="D100" s="35"/>
      <c r="E100" s="35"/>
      <c r="F100" s="38"/>
      <c r="G100" s="41"/>
      <c r="H100" s="41"/>
      <c r="I100" s="42"/>
      <c r="J100" s="41"/>
      <c r="K100" s="40"/>
      <c r="L100" s="28">
        <f t="shared" ca="1" si="24"/>
        <v>0</v>
      </c>
    </row>
    <row r="101" spans="2:12" ht="15.6" customHeight="1" x14ac:dyDescent="0.25">
      <c r="B101" s="38"/>
      <c r="C101" s="44"/>
      <c r="D101" s="35"/>
      <c r="E101" s="35"/>
      <c r="F101" s="38"/>
      <c r="G101" s="41"/>
      <c r="H101" s="41"/>
      <c r="I101" s="42"/>
      <c r="J101" s="41"/>
      <c r="K101" s="40"/>
      <c r="L101" s="28">
        <f t="shared" ca="1" si="24"/>
        <v>0</v>
      </c>
    </row>
    <row r="102" spans="2:12" ht="15.6" customHeight="1" x14ac:dyDescent="0.25">
      <c r="B102" s="38"/>
      <c r="C102" s="44"/>
      <c r="D102" s="35"/>
      <c r="E102" s="35"/>
      <c r="F102" s="38"/>
      <c r="G102" s="41"/>
      <c r="H102" s="41"/>
      <c r="I102" s="42"/>
      <c r="J102" s="41"/>
      <c r="K102" s="40"/>
      <c r="L102" s="28">
        <f t="shared" ca="1" si="24"/>
        <v>0</v>
      </c>
    </row>
    <row r="103" spans="2:12" ht="15.6" customHeight="1" x14ac:dyDescent="0.25">
      <c r="B103" s="38"/>
      <c r="C103" s="44"/>
      <c r="D103" s="35"/>
      <c r="E103" s="35"/>
      <c r="F103" s="40"/>
      <c r="G103" s="41"/>
      <c r="H103" s="41"/>
      <c r="I103" s="42"/>
      <c r="J103" s="41"/>
      <c r="K103" s="40"/>
      <c r="L103" s="28">
        <f t="shared" ca="1" si="24"/>
        <v>0</v>
      </c>
    </row>
    <row r="104" spans="2:12" ht="15.6" customHeight="1" x14ac:dyDescent="0.25">
      <c r="B104" s="38"/>
      <c r="C104" s="44"/>
      <c r="D104" s="35"/>
      <c r="E104" s="35"/>
      <c r="F104" s="40"/>
      <c r="G104" s="41"/>
      <c r="H104" s="41"/>
      <c r="I104" s="42"/>
      <c r="J104" s="41"/>
      <c r="K104" s="40"/>
      <c r="L104" s="28">
        <f t="shared" ca="1" si="24"/>
        <v>0</v>
      </c>
    </row>
    <row r="105" spans="2:12" ht="15.6" customHeight="1" x14ac:dyDescent="0.25">
      <c r="B105" s="38"/>
      <c r="C105" s="44"/>
      <c r="D105" s="35"/>
      <c r="E105" s="35"/>
      <c r="F105" s="40"/>
      <c r="G105" s="41"/>
      <c r="H105" s="41"/>
      <c r="I105" s="42"/>
      <c r="J105" s="41"/>
      <c r="K105" s="40"/>
      <c r="L105" s="28">
        <f t="shared" ca="1" si="24"/>
        <v>0</v>
      </c>
    </row>
    <row r="106" spans="2:12" ht="15.6" customHeight="1" x14ac:dyDescent="0.25">
      <c r="B106" s="38"/>
      <c r="C106" s="44"/>
      <c r="D106" s="35"/>
      <c r="E106" s="35"/>
      <c r="F106" s="38"/>
      <c r="G106" s="41"/>
      <c r="H106" s="41"/>
      <c r="I106" s="42"/>
      <c r="J106" s="41"/>
      <c r="K106" s="40"/>
      <c r="L106" s="28">
        <f t="shared" ca="1" si="24"/>
        <v>0</v>
      </c>
    </row>
    <row r="107" spans="2:12" ht="15.6" customHeight="1" x14ac:dyDescent="0.25">
      <c r="B107" s="38"/>
      <c r="C107" s="44"/>
      <c r="D107" s="35"/>
      <c r="E107" s="35"/>
      <c r="F107" s="38"/>
      <c r="G107" s="41"/>
      <c r="H107" s="41"/>
      <c r="I107" s="42"/>
      <c r="J107" s="41"/>
      <c r="K107" s="40"/>
      <c r="L107" s="28">
        <f t="shared" ca="1" si="23"/>
        <v>0</v>
      </c>
    </row>
    <row r="108" spans="2:12" ht="15.6" customHeight="1" x14ac:dyDescent="0.25">
      <c r="B108" s="38"/>
      <c r="C108" s="44"/>
      <c r="D108" s="35"/>
      <c r="E108" s="35"/>
      <c r="F108" s="38"/>
      <c r="G108" s="41"/>
      <c r="H108" s="41"/>
      <c r="I108" s="42"/>
      <c r="J108" s="41"/>
      <c r="K108" s="40"/>
      <c r="L108" s="28">
        <f t="shared" ca="1" si="23"/>
        <v>0</v>
      </c>
    </row>
    <row r="109" spans="2:12" ht="15.6" customHeight="1" x14ac:dyDescent="0.25">
      <c r="B109" s="38"/>
      <c r="C109" s="44"/>
      <c r="D109" s="35"/>
      <c r="E109" s="35"/>
      <c r="F109" s="38"/>
      <c r="G109" s="41"/>
      <c r="H109" s="41"/>
      <c r="I109" s="42"/>
      <c r="J109" s="41"/>
      <c r="K109" s="40"/>
      <c r="L109" s="28">
        <f t="shared" ca="1" si="23"/>
        <v>0</v>
      </c>
    </row>
    <row r="110" spans="2:12" ht="15.6" customHeight="1" x14ac:dyDescent="0.25">
      <c r="B110" s="38"/>
      <c r="C110" s="39"/>
      <c r="D110" s="35"/>
      <c r="E110" s="35"/>
      <c r="F110" s="40"/>
      <c r="G110" s="41"/>
      <c r="H110" s="41"/>
      <c r="I110" s="42"/>
      <c r="J110" s="41"/>
      <c r="K110" s="40"/>
      <c r="L110" s="28">
        <f ca="1">IF(ISERROR(OFFSET(L110,-1,0,1,1)+D110-E110),D110-E110,OFFSET(L110,-1,0,1,1)+D110-E110)</f>
        <v>0</v>
      </c>
    </row>
    <row r="111" spans="2:12" ht="15.6" customHeight="1" x14ac:dyDescent="0.25">
      <c r="B111" s="38"/>
      <c r="C111" s="45"/>
      <c r="D111" s="35"/>
      <c r="E111" s="35"/>
      <c r="F111" s="38"/>
      <c r="G111" s="41"/>
      <c r="H111" s="41"/>
      <c r="I111" s="42"/>
      <c r="J111" s="41"/>
      <c r="K111" s="40"/>
      <c r="L111" s="28">
        <f t="shared" ca="1" si="23"/>
        <v>0</v>
      </c>
    </row>
    <row r="112" spans="2:12" ht="15.6" customHeight="1" x14ac:dyDescent="0.25">
      <c r="B112" s="47"/>
      <c r="C112" s="48"/>
      <c r="D112" s="52">
        <f>SUBTOTAL(109,EneEst2024[INGRESO])</f>
        <v>0</v>
      </c>
      <c r="E112" s="52">
        <f>SUBTOTAL(109,EneEst2024[EGRESO])</f>
        <v>0</v>
      </c>
      <c r="F112" s="49"/>
      <c r="G112" s="50"/>
      <c r="H112" s="50"/>
      <c r="I112" s="51"/>
      <c r="J112" s="50"/>
      <c r="K112" s="49"/>
      <c r="L112" s="53"/>
    </row>
    <row r="113" spans="2:12" ht="15.6" customHeight="1" x14ac:dyDescent="0.25">
      <c r="B113"/>
      <c r="C113" s="32"/>
      <c r="D113"/>
      <c r="E113"/>
      <c r="F113"/>
      <c r="G113" s="32"/>
      <c r="H113" s="32"/>
      <c r="I113"/>
      <c r="J113" s="32"/>
      <c r="K113"/>
      <c r="L113"/>
    </row>
    <row r="114" spans="2:12" ht="15.6" customHeight="1" x14ac:dyDescent="0.25">
      <c r="B114" s="76" t="s">
        <v>121</v>
      </c>
      <c r="C114" s="77"/>
      <c r="D114" s="77"/>
      <c r="E114" s="77"/>
      <c r="F114" s="77"/>
      <c r="G114" s="77"/>
      <c r="H114" s="77"/>
      <c r="I114" s="77"/>
      <c r="J114" s="77"/>
      <c r="K114" s="77"/>
      <c r="L114" s="77"/>
    </row>
    <row r="115" spans="2:12" ht="15.6" customHeight="1" x14ac:dyDescent="0.25">
      <c r="B115" s="36" t="s">
        <v>16</v>
      </c>
      <c r="C115" s="37" t="s">
        <v>17</v>
      </c>
      <c r="D115" s="46" t="s">
        <v>73</v>
      </c>
      <c r="E115" s="46" t="s">
        <v>74</v>
      </c>
      <c r="F115" s="37" t="s">
        <v>54</v>
      </c>
      <c r="G115" s="37" t="s">
        <v>76</v>
      </c>
      <c r="H115" s="37" t="s">
        <v>77</v>
      </c>
      <c r="I115" s="37" t="s">
        <v>75</v>
      </c>
      <c r="J115" s="37" t="s">
        <v>18</v>
      </c>
      <c r="K115" s="37" t="s">
        <v>64</v>
      </c>
      <c r="L115" s="37" t="s">
        <v>19</v>
      </c>
    </row>
    <row r="116" spans="2:12" ht="15.6" customHeight="1" x14ac:dyDescent="0.25">
      <c r="B116" s="38"/>
      <c r="C116" s="44"/>
      <c r="D116" s="35"/>
      <c r="E116" s="35"/>
      <c r="F116" s="38"/>
      <c r="G116" s="41"/>
      <c r="H116" s="41"/>
      <c r="I116" s="42"/>
      <c r="J116" s="41"/>
      <c r="K116" s="41"/>
      <c r="L116" s="28">
        <f t="shared" ref="L116:L149" ca="1" si="25">IF(ISERROR(OFFSET(L116,-1,0,1,1)+D116-E116),D116-E116,OFFSET(L116,-1,0,1,1)+D116-E116)</f>
        <v>0</v>
      </c>
    </row>
    <row r="117" spans="2:12" ht="15.6" customHeight="1" x14ac:dyDescent="0.25">
      <c r="B117" s="38"/>
      <c r="C117" s="44"/>
      <c r="D117" s="35"/>
      <c r="E117" s="35"/>
      <c r="F117" s="40"/>
      <c r="G117" s="41"/>
      <c r="H117" s="41"/>
      <c r="I117" s="42"/>
      <c r="J117" s="41"/>
      <c r="K117" s="40"/>
      <c r="L117" s="28">
        <f t="shared" ca="1" si="25"/>
        <v>0</v>
      </c>
    </row>
    <row r="118" spans="2:12" ht="15.6" customHeight="1" x14ac:dyDescent="0.25">
      <c r="B118" s="38"/>
      <c r="C118" s="44"/>
      <c r="D118" s="35"/>
      <c r="E118" s="35"/>
      <c r="F118" s="40"/>
      <c r="G118" s="41"/>
      <c r="H118" s="41"/>
      <c r="I118" s="42"/>
      <c r="J118" s="41"/>
      <c r="K118" s="40"/>
      <c r="L118" s="28">
        <f t="shared" ca="1" si="25"/>
        <v>0</v>
      </c>
    </row>
    <row r="119" spans="2:12" ht="15.6" customHeight="1" x14ac:dyDescent="0.25">
      <c r="B119" s="38"/>
      <c r="C119" s="44"/>
      <c r="D119" s="35"/>
      <c r="E119" s="35"/>
      <c r="F119" s="40"/>
      <c r="G119" s="41"/>
      <c r="H119" s="41"/>
      <c r="I119" s="42"/>
      <c r="J119" s="41"/>
      <c r="K119" s="40"/>
      <c r="L119" s="28">
        <f t="shared" ca="1" si="25"/>
        <v>0</v>
      </c>
    </row>
    <row r="120" spans="2:12" ht="15.6" customHeight="1" x14ac:dyDescent="0.25">
      <c r="B120" s="38"/>
      <c r="C120" s="44"/>
      <c r="D120" s="35"/>
      <c r="E120" s="35"/>
      <c r="F120" s="38"/>
      <c r="G120" s="41"/>
      <c r="H120" s="41"/>
      <c r="I120" s="42"/>
      <c r="J120" s="41"/>
      <c r="K120" s="40"/>
      <c r="L120" s="28">
        <f t="shared" ca="1" si="25"/>
        <v>0</v>
      </c>
    </row>
    <row r="121" spans="2:12" ht="15.6" customHeight="1" x14ac:dyDescent="0.25">
      <c r="B121" s="38"/>
      <c r="C121" s="44"/>
      <c r="D121" s="35"/>
      <c r="E121" s="35"/>
      <c r="F121" s="38"/>
      <c r="G121" s="41"/>
      <c r="H121" s="41"/>
      <c r="I121" s="42"/>
      <c r="J121" s="41"/>
      <c r="K121" s="40"/>
      <c r="L121" s="28">
        <f t="shared" ca="1" si="25"/>
        <v>0</v>
      </c>
    </row>
    <row r="122" spans="2:12" ht="15.6" customHeight="1" x14ac:dyDescent="0.25">
      <c r="B122" s="38"/>
      <c r="C122" s="44"/>
      <c r="D122" s="35"/>
      <c r="E122" s="35"/>
      <c r="F122" s="38"/>
      <c r="G122" s="41"/>
      <c r="H122" s="41"/>
      <c r="I122" s="42"/>
      <c r="J122" s="41"/>
      <c r="K122" s="40"/>
      <c r="L122" s="28">
        <f t="shared" ca="1" si="25"/>
        <v>0</v>
      </c>
    </row>
    <row r="123" spans="2:12" ht="15.6" customHeight="1" x14ac:dyDescent="0.25">
      <c r="B123" s="38"/>
      <c r="C123" s="44"/>
      <c r="D123" s="35"/>
      <c r="E123" s="35"/>
      <c r="F123" s="38"/>
      <c r="G123" s="41"/>
      <c r="H123" s="41"/>
      <c r="I123" s="42"/>
      <c r="J123" s="41"/>
      <c r="K123" s="40"/>
      <c r="L123" s="28">
        <f t="shared" ca="1" si="25"/>
        <v>0</v>
      </c>
    </row>
    <row r="124" spans="2:12" ht="15.6" customHeight="1" x14ac:dyDescent="0.25">
      <c r="B124" s="38"/>
      <c r="C124" s="44"/>
      <c r="D124" s="35"/>
      <c r="E124" s="35"/>
      <c r="F124" s="38"/>
      <c r="G124" s="41"/>
      <c r="H124" s="41"/>
      <c r="I124" s="42"/>
      <c r="J124" s="41"/>
      <c r="K124" s="40"/>
      <c r="L124" s="28">
        <f t="shared" ca="1" si="25"/>
        <v>0</v>
      </c>
    </row>
    <row r="125" spans="2:12" ht="15.6" customHeight="1" x14ac:dyDescent="0.25">
      <c r="B125" s="38"/>
      <c r="C125" s="44"/>
      <c r="D125" s="35"/>
      <c r="E125" s="35"/>
      <c r="F125" s="40"/>
      <c r="G125" s="41"/>
      <c r="H125" s="41"/>
      <c r="I125" s="42"/>
      <c r="J125" s="41"/>
      <c r="K125" s="40"/>
      <c r="L125" s="28">
        <f ca="1">IF(ISERROR(OFFSET(L125,-1,0,1,1)+D125-E125),D125-E125,OFFSET(L125,-1,0,1,1)+D125-E125)</f>
        <v>0</v>
      </c>
    </row>
    <row r="126" spans="2:12" ht="15.6" customHeight="1" x14ac:dyDescent="0.25">
      <c r="B126" s="38"/>
      <c r="C126" s="44"/>
      <c r="D126" s="35"/>
      <c r="E126" s="35"/>
      <c r="F126" s="40"/>
      <c r="G126" s="41"/>
      <c r="H126" s="41"/>
      <c r="I126" s="42"/>
      <c r="J126" s="41"/>
      <c r="K126" s="40"/>
      <c r="L126" s="28">
        <f t="shared" ca="1" si="25"/>
        <v>0</v>
      </c>
    </row>
    <row r="127" spans="2:12" ht="15.6" customHeight="1" x14ac:dyDescent="0.25">
      <c r="B127" s="38"/>
      <c r="C127" s="44"/>
      <c r="D127" s="35"/>
      <c r="E127" s="35"/>
      <c r="F127" s="40"/>
      <c r="G127" s="41"/>
      <c r="H127" s="41"/>
      <c r="I127" s="42"/>
      <c r="J127" s="41"/>
      <c r="K127" s="40"/>
      <c r="L127" s="28">
        <f t="shared" ca="1" si="25"/>
        <v>0</v>
      </c>
    </row>
    <row r="128" spans="2:12" ht="15.6" customHeight="1" x14ac:dyDescent="0.25">
      <c r="B128" s="38"/>
      <c r="C128" s="44"/>
      <c r="D128" s="35"/>
      <c r="E128" s="35"/>
      <c r="F128" s="38"/>
      <c r="G128" s="41"/>
      <c r="H128" s="41"/>
      <c r="I128" s="42"/>
      <c r="J128" s="41"/>
      <c r="K128" s="40"/>
      <c r="L128" s="28">
        <f t="shared" ca="1" si="25"/>
        <v>0</v>
      </c>
    </row>
    <row r="129" spans="2:12" ht="15.6" customHeight="1" x14ac:dyDescent="0.25">
      <c r="B129" s="38"/>
      <c r="C129" s="44"/>
      <c r="D129" s="35"/>
      <c r="E129" s="35"/>
      <c r="F129" s="38"/>
      <c r="G129" s="41"/>
      <c r="H129" s="41"/>
      <c r="I129" s="42"/>
      <c r="J129" s="41"/>
      <c r="K129" s="40"/>
      <c r="L129" s="28">
        <f t="shared" ca="1" si="25"/>
        <v>0</v>
      </c>
    </row>
    <row r="130" spans="2:12" ht="15.6" customHeight="1" x14ac:dyDescent="0.25">
      <c r="B130" s="38"/>
      <c r="C130" s="44"/>
      <c r="D130" s="35"/>
      <c r="E130" s="35"/>
      <c r="F130" s="38"/>
      <c r="G130" s="41"/>
      <c r="H130" s="41"/>
      <c r="I130" s="42"/>
      <c r="J130" s="41"/>
      <c r="K130" s="40"/>
      <c r="L130" s="28">
        <f t="shared" ca="1" si="25"/>
        <v>0</v>
      </c>
    </row>
    <row r="131" spans="2:12" ht="15.6" customHeight="1" x14ac:dyDescent="0.25">
      <c r="B131" s="38"/>
      <c r="C131" s="44"/>
      <c r="D131" s="35"/>
      <c r="E131" s="35"/>
      <c r="F131" s="38"/>
      <c r="G131" s="41"/>
      <c r="H131" s="41"/>
      <c r="I131" s="42"/>
      <c r="J131" s="41"/>
      <c r="K131" s="40"/>
      <c r="L131" s="28">
        <f t="shared" ca="1" si="25"/>
        <v>0</v>
      </c>
    </row>
    <row r="132" spans="2:12" ht="15.6" customHeight="1" x14ac:dyDescent="0.25">
      <c r="B132" s="38"/>
      <c r="C132" s="44"/>
      <c r="D132" s="35"/>
      <c r="E132" s="35"/>
      <c r="F132" s="38"/>
      <c r="G132" s="41"/>
      <c r="H132" s="41"/>
      <c r="I132" s="42"/>
      <c r="J132" s="41"/>
      <c r="K132" s="40"/>
      <c r="L132" s="28">
        <f t="shared" ca="1" si="25"/>
        <v>0</v>
      </c>
    </row>
    <row r="133" spans="2:12" ht="15.6" customHeight="1" x14ac:dyDescent="0.25">
      <c r="B133" s="38"/>
      <c r="C133" s="44"/>
      <c r="D133" s="35"/>
      <c r="E133" s="35"/>
      <c r="F133" s="40"/>
      <c r="G133" s="41"/>
      <c r="H133" s="41"/>
      <c r="I133" s="42"/>
      <c r="J133" s="41"/>
      <c r="K133" s="40"/>
      <c r="L133" s="28">
        <f ca="1">IF(ISERROR(OFFSET(L133,-1,0,1,1)+D133-E133),D133-E133,OFFSET(L133,-1,0,1,1)+D133-E133)</f>
        <v>0</v>
      </c>
    </row>
    <row r="134" spans="2:12" ht="15.6" customHeight="1" x14ac:dyDescent="0.25">
      <c r="B134" s="38"/>
      <c r="C134" s="44"/>
      <c r="D134" s="35"/>
      <c r="E134" s="35"/>
      <c r="F134" s="40"/>
      <c r="G134" s="41"/>
      <c r="H134" s="41"/>
      <c r="I134" s="42"/>
      <c r="J134" s="41"/>
      <c r="K134" s="40"/>
      <c r="L134" s="28">
        <f t="shared" ca="1" si="25"/>
        <v>0</v>
      </c>
    </row>
    <row r="135" spans="2:12" ht="15.6" customHeight="1" x14ac:dyDescent="0.25">
      <c r="B135" s="38"/>
      <c r="C135" s="44"/>
      <c r="D135" s="35"/>
      <c r="E135" s="35"/>
      <c r="F135" s="40"/>
      <c r="G135" s="41"/>
      <c r="H135" s="41"/>
      <c r="I135" s="42"/>
      <c r="J135" s="41"/>
      <c r="K135" s="40"/>
      <c r="L135" s="28">
        <f t="shared" ca="1" si="25"/>
        <v>0</v>
      </c>
    </row>
    <row r="136" spans="2:12" ht="15.6" customHeight="1" x14ac:dyDescent="0.25">
      <c r="B136" s="38"/>
      <c r="C136" s="44"/>
      <c r="D136" s="35"/>
      <c r="E136" s="35"/>
      <c r="F136" s="38"/>
      <c r="G136" s="41"/>
      <c r="H136" s="41"/>
      <c r="I136" s="42"/>
      <c r="J136" s="41"/>
      <c r="K136" s="40"/>
      <c r="L136" s="28">
        <f t="shared" ca="1" si="25"/>
        <v>0</v>
      </c>
    </row>
    <row r="137" spans="2:12" ht="15.6" customHeight="1" x14ac:dyDescent="0.25">
      <c r="B137" s="38"/>
      <c r="C137" s="44"/>
      <c r="D137" s="35"/>
      <c r="E137" s="35"/>
      <c r="F137" s="38"/>
      <c r="G137" s="41"/>
      <c r="H137" s="41"/>
      <c r="I137" s="42"/>
      <c r="J137" s="41"/>
      <c r="K137" s="40"/>
      <c r="L137" s="28">
        <f t="shared" ca="1" si="25"/>
        <v>0</v>
      </c>
    </row>
    <row r="138" spans="2:12" ht="15.6" customHeight="1" x14ac:dyDescent="0.25">
      <c r="B138" s="38"/>
      <c r="C138" s="44"/>
      <c r="D138" s="35"/>
      <c r="E138" s="35"/>
      <c r="F138" s="38"/>
      <c r="G138" s="41"/>
      <c r="H138" s="41"/>
      <c r="I138" s="42"/>
      <c r="J138" s="41"/>
      <c r="K138" s="40"/>
      <c r="L138" s="28">
        <f t="shared" ca="1" si="25"/>
        <v>0</v>
      </c>
    </row>
    <row r="139" spans="2:12" ht="15.6" customHeight="1" x14ac:dyDescent="0.25">
      <c r="B139" s="38"/>
      <c r="C139" s="44"/>
      <c r="D139" s="35"/>
      <c r="E139" s="35"/>
      <c r="F139" s="38"/>
      <c r="G139" s="41"/>
      <c r="H139" s="41"/>
      <c r="I139" s="42"/>
      <c r="J139" s="41"/>
      <c r="K139" s="40"/>
      <c r="L139" s="28">
        <f t="shared" ref="L139:L144" ca="1" si="26">IF(ISERROR(OFFSET(L139,-1,0,1,1)+D139-E139),D139-E139,OFFSET(L139,-1,0,1,1)+D139-E139)</f>
        <v>0</v>
      </c>
    </row>
    <row r="140" spans="2:12" ht="15.6" customHeight="1" x14ac:dyDescent="0.25">
      <c r="B140" s="38"/>
      <c r="C140" s="44"/>
      <c r="D140" s="35"/>
      <c r="E140" s="35"/>
      <c r="F140" s="38"/>
      <c r="G140" s="41"/>
      <c r="H140" s="41"/>
      <c r="I140" s="42"/>
      <c r="J140" s="41"/>
      <c r="K140" s="40"/>
      <c r="L140" s="28">
        <f t="shared" ca="1" si="26"/>
        <v>0</v>
      </c>
    </row>
    <row r="141" spans="2:12" ht="15.6" customHeight="1" x14ac:dyDescent="0.25">
      <c r="B141" s="38"/>
      <c r="C141" s="44"/>
      <c r="D141" s="35"/>
      <c r="E141" s="35"/>
      <c r="F141" s="40"/>
      <c r="G141" s="41"/>
      <c r="H141" s="41"/>
      <c r="I141" s="42"/>
      <c r="J141" s="41"/>
      <c r="K141" s="40"/>
      <c r="L141" s="28">
        <f t="shared" ca="1" si="26"/>
        <v>0</v>
      </c>
    </row>
    <row r="142" spans="2:12" ht="15.6" customHeight="1" x14ac:dyDescent="0.25">
      <c r="B142" s="38"/>
      <c r="C142" s="44"/>
      <c r="D142" s="35"/>
      <c r="E142" s="35"/>
      <c r="F142" s="40"/>
      <c r="G142" s="41"/>
      <c r="H142" s="41"/>
      <c r="I142" s="42"/>
      <c r="J142" s="41"/>
      <c r="K142" s="40"/>
      <c r="L142" s="28">
        <f t="shared" ca="1" si="26"/>
        <v>0</v>
      </c>
    </row>
    <row r="143" spans="2:12" ht="15.6" customHeight="1" x14ac:dyDescent="0.25">
      <c r="B143" s="38"/>
      <c r="C143" s="44"/>
      <c r="D143" s="35"/>
      <c r="E143" s="35"/>
      <c r="F143" s="40"/>
      <c r="G143" s="41"/>
      <c r="H143" s="41"/>
      <c r="I143" s="42"/>
      <c r="J143" s="41"/>
      <c r="K143" s="40"/>
      <c r="L143" s="28">
        <f t="shared" ca="1" si="26"/>
        <v>0</v>
      </c>
    </row>
    <row r="144" spans="2:12" ht="15.6" customHeight="1" x14ac:dyDescent="0.25">
      <c r="B144" s="38"/>
      <c r="C144" s="44"/>
      <c r="D144" s="35"/>
      <c r="E144" s="35"/>
      <c r="F144" s="38"/>
      <c r="G144" s="41"/>
      <c r="H144" s="41"/>
      <c r="I144" s="42"/>
      <c r="J144" s="41"/>
      <c r="K144" s="40"/>
      <c r="L144" s="28">
        <f t="shared" ca="1" si="26"/>
        <v>0</v>
      </c>
    </row>
    <row r="145" spans="2:12" ht="15.6" customHeight="1" x14ac:dyDescent="0.25">
      <c r="B145" s="38"/>
      <c r="C145" s="44"/>
      <c r="D145" s="35"/>
      <c r="E145" s="35"/>
      <c r="F145" s="38"/>
      <c r="G145" s="41"/>
      <c r="H145" s="41"/>
      <c r="I145" s="42"/>
      <c r="J145" s="41"/>
      <c r="K145" s="40"/>
      <c r="L145" s="28">
        <f t="shared" ca="1" si="25"/>
        <v>0</v>
      </c>
    </row>
    <row r="146" spans="2:12" ht="15.6" customHeight="1" x14ac:dyDescent="0.25">
      <c r="B146" s="38"/>
      <c r="C146" s="44"/>
      <c r="D146" s="35"/>
      <c r="E146" s="35"/>
      <c r="F146" s="38"/>
      <c r="G146" s="41"/>
      <c r="H146" s="41"/>
      <c r="I146" s="42"/>
      <c r="J146" s="41"/>
      <c r="K146" s="40"/>
      <c r="L146" s="28">
        <f t="shared" ca="1" si="25"/>
        <v>0</v>
      </c>
    </row>
    <row r="147" spans="2:12" ht="15.6" customHeight="1" x14ac:dyDescent="0.25">
      <c r="B147" s="38"/>
      <c r="C147" s="44"/>
      <c r="D147" s="35"/>
      <c r="E147" s="35"/>
      <c r="F147" s="38"/>
      <c r="G147" s="41"/>
      <c r="H147" s="41"/>
      <c r="I147" s="42"/>
      <c r="J147" s="41"/>
      <c r="K147" s="40"/>
      <c r="L147" s="28">
        <f t="shared" ca="1" si="25"/>
        <v>0</v>
      </c>
    </row>
    <row r="148" spans="2:12" ht="15.6" customHeight="1" x14ac:dyDescent="0.25">
      <c r="B148" s="38"/>
      <c r="C148" s="39"/>
      <c r="D148" s="35"/>
      <c r="E148" s="35"/>
      <c r="F148" s="40"/>
      <c r="G148" s="41"/>
      <c r="H148" s="41"/>
      <c r="I148" s="42"/>
      <c r="J148" s="41"/>
      <c r="K148" s="40"/>
      <c r="L148" s="28">
        <f ca="1">IF(ISERROR(OFFSET(L148,-1,0,1,1)+D148-E148),D148-E148,OFFSET(L148,-1,0,1,1)+D148-E148)</f>
        <v>0</v>
      </c>
    </row>
    <row r="149" spans="2:12" ht="15.6" customHeight="1" x14ac:dyDescent="0.25">
      <c r="B149" s="38"/>
      <c r="C149" s="45"/>
      <c r="D149" s="35"/>
      <c r="E149" s="35"/>
      <c r="F149" s="38"/>
      <c r="G149" s="41"/>
      <c r="H149" s="41"/>
      <c r="I149" s="42"/>
      <c r="J149" s="41"/>
      <c r="K149" s="40"/>
      <c r="L149" s="28">
        <f t="shared" ca="1" si="25"/>
        <v>0</v>
      </c>
    </row>
    <row r="150" spans="2:12" ht="15.6" customHeight="1" x14ac:dyDescent="0.25">
      <c r="B150" s="47"/>
      <c r="C150" s="48"/>
      <c r="D150" s="52">
        <f>SUBTOTAL(109,FebEst2024[INGRESO])</f>
        <v>0</v>
      </c>
      <c r="E150" s="52">
        <f>SUBTOTAL(109,FebEst2024[EGRESO])</f>
        <v>0</v>
      </c>
      <c r="F150" s="49"/>
      <c r="G150" s="50"/>
      <c r="H150" s="50"/>
      <c r="I150" s="51"/>
      <c r="J150" s="50"/>
      <c r="K150" s="49"/>
      <c r="L150" s="53"/>
    </row>
    <row r="151" spans="2:12" ht="15.6" customHeight="1" x14ac:dyDescent="0.25">
      <c r="B151"/>
      <c r="C151" s="32"/>
      <c r="D151"/>
      <c r="E151"/>
      <c r="F151"/>
      <c r="G151" s="32"/>
      <c r="H151" s="32"/>
      <c r="I151"/>
      <c r="J151" s="32"/>
      <c r="K151"/>
      <c r="L151"/>
    </row>
    <row r="152" spans="2:12" ht="15.6" customHeight="1" x14ac:dyDescent="0.25">
      <c r="B152" s="76" t="s">
        <v>122</v>
      </c>
      <c r="C152" s="77"/>
      <c r="D152" s="77"/>
      <c r="E152" s="77"/>
      <c r="F152" s="77"/>
      <c r="G152" s="77"/>
      <c r="H152" s="77"/>
      <c r="I152" s="77"/>
      <c r="J152" s="77"/>
      <c r="K152" s="77"/>
      <c r="L152" s="77"/>
    </row>
    <row r="153" spans="2:12" ht="15.6" customHeight="1" x14ac:dyDescent="0.25">
      <c r="B153" s="36" t="s">
        <v>16</v>
      </c>
      <c r="C153" s="37" t="s">
        <v>17</v>
      </c>
      <c r="D153" s="37" t="s">
        <v>73</v>
      </c>
      <c r="E153" s="37" t="s">
        <v>74</v>
      </c>
      <c r="F153" s="37" t="s">
        <v>54</v>
      </c>
      <c r="G153" s="37" t="s">
        <v>76</v>
      </c>
      <c r="H153" s="37" t="s">
        <v>77</v>
      </c>
      <c r="I153" s="37" t="s">
        <v>75</v>
      </c>
      <c r="J153" s="37" t="s">
        <v>18</v>
      </c>
      <c r="K153" s="37" t="s">
        <v>64</v>
      </c>
      <c r="L153" s="37" t="s">
        <v>19</v>
      </c>
    </row>
    <row r="154" spans="2:12" ht="15.6" customHeight="1" x14ac:dyDescent="0.25">
      <c r="B154" s="38"/>
      <c r="C154" s="44"/>
      <c r="D154" s="35"/>
      <c r="E154" s="35"/>
      <c r="F154" s="38"/>
      <c r="G154" s="41"/>
      <c r="H154" s="41"/>
      <c r="I154" s="42"/>
      <c r="J154" s="41"/>
      <c r="K154" s="41"/>
      <c r="L154" s="28">
        <f t="shared" ref="L154:L201" ca="1" si="27">IF(ISERROR(OFFSET(L154,-1,0,1,1)+D154-E154),D154-E154,OFFSET(L154,-1,0,1,1)+D154-E154)</f>
        <v>0</v>
      </c>
    </row>
    <row r="155" spans="2:12" ht="15.6" customHeight="1" x14ac:dyDescent="0.25">
      <c r="B155" s="38"/>
      <c r="C155" s="44"/>
      <c r="D155" s="35"/>
      <c r="E155" s="35"/>
      <c r="F155" s="40"/>
      <c r="G155" s="41"/>
      <c r="H155" s="41"/>
      <c r="I155" s="42"/>
      <c r="J155" s="41"/>
      <c r="K155" s="40"/>
      <c r="L155" s="28">
        <f t="shared" ca="1" si="27"/>
        <v>0</v>
      </c>
    </row>
    <row r="156" spans="2:12" ht="15.6" customHeight="1" x14ac:dyDescent="0.25">
      <c r="B156" s="38"/>
      <c r="C156" s="44"/>
      <c r="D156" s="35"/>
      <c r="E156" s="35"/>
      <c r="F156" s="40"/>
      <c r="G156" s="41"/>
      <c r="H156" s="41"/>
      <c r="I156" s="42"/>
      <c r="J156" s="41"/>
      <c r="K156" s="40"/>
      <c r="L156" s="28">
        <f t="shared" ca="1" si="27"/>
        <v>0</v>
      </c>
    </row>
    <row r="157" spans="2:12" ht="15.6" customHeight="1" x14ac:dyDescent="0.25">
      <c r="B157" s="38"/>
      <c r="C157" s="44"/>
      <c r="D157" s="35"/>
      <c r="E157" s="35"/>
      <c r="F157" s="40"/>
      <c r="G157" s="41"/>
      <c r="H157" s="41"/>
      <c r="I157" s="42"/>
      <c r="J157" s="41"/>
      <c r="K157" s="40"/>
      <c r="L157" s="28">
        <f t="shared" ca="1" si="27"/>
        <v>0</v>
      </c>
    </row>
    <row r="158" spans="2:12" ht="15.6" customHeight="1" x14ac:dyDescent="0.25">
      <c r="B158" s="38"/>
      <c r="C158" s="44"/>
      <c r="D158" s="35"/>
      <c r="E158" s="35"/>
      <c r="F158" s="38"/>
      <c r="G158" s="41"/>
      <c r="H158" s="41"/>
      <c r="I158" s="42"/>
      <c r="J158" s="41"/>
      <c r="K158" s="40"/>
      <c r="L158" s="28">
        <f t="shared" ca="1" si="27"/>
        <v>0</v>
      </c>
    </row>
    <row r="159" spans="2:12" ht="15.6" customHeight="1" x14ac:dyDescent="0.25">
      <c r="B159" s="38"/>
      <c r="C159" s="44"/>
      <c r="D159" s="35"/>
      <c r="E159" s="35"/>
      <c r="F159" s="38"/>
      <c r="G159" s="41"/>
      <c r="H159" s="41"/>
      <c r="I159" s="42"/>
      <c r="J159" s="41"/>
      <c r="K159" s="40"/>
      <c r="L159" s="28">
        <f t="shared" ca="1" si="27"/>
        <v>0</v>
      </c>
    </row>
    <row r="160" spans="2:12" ht="15.6" customHeight="1" x14ac:dyDescent="0.25">
      <c r="B160" s="38"/>
      <c r="C160" s="44"/>
      <c r="D160" s="35"/>
      <c r="E160" s="35"/>
      <c r="F160" s="38"/>
      <c r="G160" s="41"/>
      <c r="H160" s="41"/>
      <c r="I160" s="42"/>
      <c r="J160" s="41"/>
      <c r="K160" s="40"/>
      <c r="L160" s="28">
        <f t="shared" ca="1" si="27"/>
        <v>0</v>
      </c>
    </row>
    <row r="161" spans="2:12" ht="15.6" customHeight="1" x14ac:dyDescent="0.25">
      <c r="B161" s="38"/>
      <c r="C161" s="44"/>
      <c r="D161" s="35"/>
      <c r="E161" s="35"/>
      <c r="F161" s="38"/>
      <c r="G161" s="41"/>
      <c r="H161" s="41"/>
      <c r="I161" s="42"/>
      <c r="J161" s="41"/>
      <c r="K161" s="40"/>
      <c r="L161" s="28">
        <f t="shared" ca="1" si="27"/>
        <v>0</v>
      </c>
    </row>
    <row r="162" spans="2:12" ht="15.6" customHeight="1" x14ac:dyDescent="0.25">
      <c r="B162" s="38"/>
      <c r="C162" s="44"/>
      <c r="D162" s="35"/>
      <c r="E162" s="35"/>
      <c r="F162" s="38"/>
      <c r="G162" s="41"/>
      <c r="H162" s="41"/>
      <c r="I162" s="42"/>
      <c r="J162" s="41"/>
      <c r="K162" s="40"/>
      <c r="L162" s="28">
        <f t="shared" ca="1" si="27"/>
        <v>0</v>
      </c>
    </row>
    <row r="163" spans="2:12" ht="15.6" customHeight="1" x14ac:dyDescent="0.25">
      <c r="B163" s="38"/>
      <c r="C163" s="44"/>
      <c r="D163" s="35"/>
      <c r="E163" s="35"/>
      <c r="F163" s="40"/>
      <c r="G163" s="41"/>
      <c r="H163" s="41"/>
      <c r="I163" s="42"/>
      <c r="J163" s="41"/>
      <c r="K163" s="40"/>
      <c r="L163" s="28">
        <f t="shared" ca="1" si="27"/>
        <v>0</v>
      </c>
    </row>
    <row r="164" spans="2:12" ht="15.6" customHeight="1" x14ac:dyDescent="0.25">
      <c r="B164" s="38"/>
      <c r="C164" s="44"/>
      <c r="D164" s="35"/>
      <c r="E164" s="35"/>
      <c r="F164" s="40"/>
      <c r="G164" s="41"/>
      <c r="H164" s="41"/>
      <c r="I164" s="42"/>
      <c r="J164" s="41"/>
      <c r="K164" s="40"/>
      <c r="L164" s="28">
        <f t="shared" ca="1" si="27"/>
        <v>0</v>
      </c>
    </row>
    <row r="165" spans="2:12" ht="15.6" customHeight="1" x14ac:dyDescent="0.25">
      <c r="B165" s="38"/>
      <c r="C165" s="44"/>
      <c r="D165" s="35"/>
      <c r="E165" s="35"/>
      <c r="F165" s="40"/>
      <c r="G165" s="41"/>
      <c r="H165" s="41"/>
      <c r="I165" s="42"/>
      <c r="J165" s="41"/>
      <c r="K165" s="40"/>
      <c r="L165" s="28">
        <f t="shared" ca="1" si="27"/>
        <v>0</v>
      </c>
    </row>
    <row r="166" spans="2:12" ht="15.6" customHeight="1" x14ac:dyDescent="0.25">
      <c r="B166" s="38"/>
      <c r="C166" s="44"/>
      <c r="D166" s="35"/>
      <c r="E166" s="35"/>
      <c r="F166" s="38"/>
      <c r="G166" s="41"/>
      <c r="H166" s="41"/>
      <c r="I166" s="42"/>
      <c r="J166" s="41"/>
      <c r="K166" s="40"/>
      <c r="L166" s="28">
        <f t="shared" ca="1" si="27"/>
        <v>0</v>
      </c>
    </row>
    <row r="167" spans="2:12" ht="15.6" customHeight="1" x14ac:dyDescent="0.25">
      <c r="B167" s="38"/>
      <c r="C167" s="44"/>
      <c r="D167" s="35"/>
      <c r="E167" s="35"/>
      <c r="F167" s="38"/>
      <c r="G167" s="41"/>
      <c r="H167" s="41"/>
      <c r="I167" s="42"/>
      <c r="J167" s="41"/>
      <c r="K167" s="40"/>
      <c r="L167" s="28">
        <f t="shared" ca="1" si="27"/>
        <v>0</v>
      </c>
    </row>
    <row r="168" spans="2:12" ht="15.6" customHeight="1" x14ac:dyDescent="0.25">
      <c r="B168" s="38"/>
      <c r="C168" s="44"/>
      <c r="D168" s="35"/>
      <c r="E168" s="35"/>
      <c r="F168" s="38"/>
      <c r="G168" s="41"/>
      <c r="H168" s="41"/>
      <c r="I168" s="42"/>
      <c r="J168" s="41"/>
      <c r="K168" s="40"/>
      <c r="L168" s="28">
        <f t="shared" ca="1" si="27"/>
        <v>0</v>
      </c>
    </row>
    <row r="169" spans="2:12" ht="15.6" customHeight="1" x14ac:dyDescent="0.25">
      <c r="B169" s="38"/>
      <c r="C169" s="44"/>
      <c r="D169" s="35"/>
      <c r="E169" s="35"/>
      <c r="F169" s="38"/>
      <c r="G169" s="41"/>
      <c r="H169" s="41"/>
      <c r="I169" s="42"/>
      <c r="J169" s="41"/>
      <c r="K169" s="40"/>
      <c r="L169" s="28">
        <f t="shared" ca="1" si="27"/>
        <v>0</v>
      </c>
    </row>
    <row r="170" spans="2:12" ht="15.6" customHeight="1" x14ac:dyDescent="0.25">
      <c r="B170" s="38"/>
      <c r="C170" s="39"/>
      <c r="D170" s="35"/>
      <c r="E170" s="35"/>
      <c r="F170" s="40"/>
      <c r="G170" s="41"/>
      <c r="H170" s="41"/>
      <c r="I170" s="42"/>
      <c r="J170" s="41"/>
      <c r="K170" s="40"/>
      <c r="L170" s="28">
        <f t="shared" ca="1" si="27"/>
        <v>0</v>
      </c>
    </row>
    <row r="171" spans="2:12" ht="15.6" customHeight="1" x14ac:dyDescent="0.25">
      <c r="B171" s="38"/>
      <c r="C171" s="39"/>
      <c r="D171" s="35"/>
      <c r="E171" s="35"/>
      <c r="F171" s="40"/>
      <c r="G171" s="41"/>
      <c r="H171" s="41"/>
      <c r="I171" s="42"/>
      <c r="J171" s="41"/>
      <c r="K171" s="40"/>
      <c r="L171" s="28">
        <f t="shared" ca="1" si="27"/>
        <v>0</v>
      </c>
    </row>
    <row r="172" spans="2:12" ht="15.6" customHeight="1" x14ac:dyDescent="0.25">
      <c r="B172" s="38"/>
      <c r="C172" s="44"/>
      <c r="D172" s="35"/>
      <c r="E172" s="35"/>
      <c r="F172" s="38"/>
      <c r="G172" s="41"/>
      <c r="H172" s="41"/>
      <c r="I172" s="42"/>
      <c r="J172" s="41"/>
      <c r="K172" s="40"/>
      <c r="L172" s="28">
        <f t="shared" ca="1" si="27"/>
        <v>0</v>
      </c>
    </row>
    <row r="173" spans="2:12" ht="15.6" customHeight="1" x14ac:dyDescent="0.25">
      <c r="B173" s="38"/>
      <c r="C173" s="44"/>
      <c r="D173" s="35"/>
      <c r="E173" s="35"/>
      <c r="F173" s="40"/>
      <c r="G173" s="41"/>
      <c r="H173" s="41"/>
      <c r="I173" s="42"/>
      <c r="J173" s="41"/>
      <c r="K173" s="40"/>
      <c r="L173" s="28">
        <f t="shared" ca="1" si="27"/>
        <v>0</v>
      </c>
    </row>
    <row r="174" spans="2:12" ht="15.6" customHeight="1" x14ac:dyDescent="0.25">
      <c r="B174" s="38"/>
      <c r="C174" s="44"/>
      <c r="D174" s="35"/>
      <c r="E174" s="35"/>
      <c r="F174" s="40"/>
      <c r="G174" s="41"/>
      <c r="H174" s="41"/>
      <c r="I174" s="42"/>
      <c r="J174" s="41"/>
      <c r="K174" s="40"/>
      <c r="L174" s="28">
        <f t="shared" ca="1" si="27"/>
        <v>0</v>
      </c>
    </row>
    <row r="175" spans="2:12" ht="15.6" customHeight="1" x14ac:dyDescent="0.25">
      <c r="B175" s="38"/>
      <c r="C175" s="44"/>
      <c r="D175" s="35"/>
      <c r="E175" s="35"/>
      <c r="F175" s="40"/>
      <c r="G175" s="41"/>
      <c r="H175" s="41"/>
      <c r="I175" s="42"/>
      <c r="J175" s="41"/>
      <c r="K175" s="40"/>
      <c r="L175" s="28">
        <f t="shared" ca="1" si="27"/>
        <v>0</v>
      </c>
    </row>
    <row r="176" spans="2:12" ht="15.6" customHeight="1" x14ac:dyDescent="0.25">
      <c r="B176" s="38"/>
      <c r="C176" s="44"/>
      <c r="D176" s="35"/>
      <c r="E176" s="35"/>
      <c r="F176" s="38"/>
      <c r="G176" s="41"/>
      <c r="H176" s="41"/>
      <c r="I176" s="42"/>
      <c r="J176" s="41"/>
      <c r="K176" s="40"/>
      <c r="L176" s="28">
        <f t="shared" ca="1" si="27"/>
        <v>0</v>
      </c>
    </row>
    <row r="177" spans="2:12" ht="15.6" customHeight="1" x14ac:dyDescent="0.25">
      <c r="B177" s="38"/>
      <c r="C177" s="44"/>
      <c r="D177" s="35"/>
      <c r="E177" s="35"/>
      <c r="F177" s="38"/>
      <c r="G177" s="41"/>
      <c r="H177" s="41"/>
      <c r="I177" s="42"/>
      <c r="J177" s="41"/>
      <c r="K177" s="40"/>
      <c r="L177" s="28">
        <f t="shared" ca="1" si="27"/>
        <v>0</v>
      </c>
    </row>
    <row r="178" spans="2:12" ht="15.6" customHeight="1" x14ac:dyDescent="0.25">
      <c r="B178" s="38"/>
      <c r="C178" s="44"/>
      <c r="D178" s="35"/>
      <c r="E178" s="35"/>
      <c r="F178" s="38"/>
      <c r="G178" s="41"/>
      <c r="H178" s="41"/>
      <c r="I178" s="42"/>
      <c r="J178" s="41"/>
      <c r="K178" s="40"/>
      <c r="L178" s="28">
        <f t="shared" ca="1" si="27"/>
        <v>0</v>
      </c>
    </row>
    <row r="179" spans="2:12" ht="15.6" customHeight="1" x14ac:dyDescent="0.25">
      <c r="B179" s="38"/>
      <c r="C179" s="44"/>
      <c r="D179" s="35"/>
      <c r="E179" s="35"/>
      <c r="F179" s="38"/>
      <c r="G179" s="41"/>
      <c r="H179" s="41"/>
      <c r="I179" s="42"/>
      <c r="J179" s="41"/>
      <c r="K179" s="40"/>
      <c r="L179" s="28">
        <f t="shared" ca="1" si="27"/>
        <v>0</v>
      </c>
    </row>
    <row r="180" spans="2:12" ht="15.6" customHeight="1" x14ac:dyDescent="0.25">
      <c r="B180" s="38"/>
      <c r="C180" s="44"/>
      <c r="D180" s="35"/>
      <c r="E180" s="35"/>
      <c r="F180" s="38"/>
      <c r="G180" s="41"/>
      <c r="H180" s="41"/>
      <c r="I180" s="42"/>
      <c r="J180" s="41"/>
      <c r="K180" s="40"/>
      <c r="L180" s="28">
        <f t="shared" ref="L180:L186" ca="1" si="28">IF(ISERROR(OFFSET(L180,-1,0,1,1)+D180-E180),D180-E180,OFFSET(L180,-1,0,1,1)+D180-E180)</f>
        <v>0</v>
      </c>
    </row>
    <row r="181" spans="2:12" ht="15.6" customHeight="1" x14ac:dyDescent="0.25">
      <c r="B181" s="38"/>
      <c r="C181" s="44"/>
      <c r="D181" s="35"/>
      <c r="E181" s="35"/>
      <c r="F181" s="40"/>
      <c r="G181" s="41"/>
      <c r="H181" s="41"/>
      <c r="I181" s="42"/>
      <c r="J181" s="41"/>
      <c r="K181" s="40"/>
      <c r="L181" s="28">
        <f t="shared" ca="1" si="28"/>
        <v>0</v>
      </c>
    </row>
    <row r="182" spans="2:12" ht="15.6" customHeight="1" x14ac:dyDescent="0.25">
      <c r="B182" s="38"/>
      <c r="C182" s="44"/>
      <c r="D182" s="35"/>
      <c r="E182" s="35"/>
      <c r="F182" s="40"/>
      <c r="G182" s="41"/>
      <c r="H182" s="41"/>
      <c r="I182" s="42"/>
      <c r="J182" s="41"/>
      <c r="K182" s="40"/>
      <c r="L182" s="28">
        <f t="shared" ca="1" si="28"/>
        <v>0</v>
      </c>
    </row>
    <row r="183" spans="2:12" ht="15.6" customHeight="1" x14ac:dyDescent="0.25">
      <c r="B183" s="38"/>
      <c r="C183" s="44"/>
      <c r="D183" s="35"/>
      <c r="E183" s="35"/>
      <c r="F183" s="40"/>
      <c r="G183" s="41"/>
      <c r="H183" s="41"/>
      <c r="I183" s="42"/>
      <c r="J183" s="41"/>
      <c r="K183" s="40"/>
      <c r="L183" s="28">
        <f t="shared" ca="1" si="28"/>
        <v>0</v>
      </c>
    </row>
    <row r="184" spans="2:12" ht="15.6" customHeight="1" x14ac:dyDescent="0.25">
      <c r="B184" s="38"/>
      <c r="C184" s="44"/>
      <c r="D184" s="35"/>
      <c r="E184" s="35"/>
      <c r="F184" s="38"/>
      <c r="G184" s="41"/>
      <c r="H184" s="41"/>
      <c r="I184" s="42"/>
      <c r="J184" s="41"/>
      <c r="K184" s="40"/>
      <c r="L184" s="28">
        <f t="shared" ca="1" si="28"/>
        <v>0</v>
      </c>
    </row>
    <row r="185" spans="2:12" ht="15.6" customHeight="1" x14ac:dyDescent="0.25">
      <c r="B185" s="38"/>
      <c r="C185" s="44"/>
      <c r="D185" s="35"/>
      <c r="E185" s="35"/>
      <c r="F185" s="38"/>
      <c r="G185" s="41"/>
      <c r="H185" s="41"/>
      <c r="I185" s="42"/>
      <c r="J185" s="41"/>
      <c r="K185" s="40"/>
      <c r="L185" s="28">
        <f t="shared" ca="1" si="28"/>
        <v>0</v>
      </c>
    </row>
    <row r="186" spans="2:12" ht="15.6" customHeight="1" x14ac:dyDescent="0.25">
      <c r="B186" s="38"/>
      <c r="C186" s="44"/>
      <c r="D186" s="35"/>
      <c r="E186" s="35"/>
      <c r="F186" s="38"/>
      <c r="G186" s="41"/>
      <c r="H186" s="41"/>
      <c r="I186" s="42"/>
      <c r="J186" s="41"/>
      <c r="K186" s="40"/>
      <c r="L186" s="28">
        <f t="shared" ca="1" si="28"/>
        <v>0</v>
      </c>
    </row>
    <row r="187" spans="2:12" ht="15.6" customHeight="1" x14ac:dyDescent="0.25">
      <c r="B187" s="38"/>
      <c r="C187" s="44"/>
      <c r="D187" s="35"/>
      <c r="E187" s="35"/>
      <c r="F187" s="38"/>
      <c r="G187" s="41"/>
      <c r="H187" s="41"/>
      <c r="I187" s="42"/>
      <c r="J187" s="41"/>
      <c r="K187" s="40"/>
      <c r="L187" s="28">
        <f t="shared" ca="1" si="27"/>
        <v>0</v>
      </c>
    </row>
    <row r="188" spans="2:12" ht="15.6" customHeight="1" x14ac:dyDescent="0.25">
      <c r="B188" s="38"/>
      <c r="C188" s="44"/>
      <c r="D188" s="35"/>
      <c r="E188" s="35"/>
      <c r="F188" s="38"/>
      <c r="G188" s="41"/>
      <c r="H188" s="41"/>
      <c r="I188" s="42"/>
      <c r="J188" s="41"/>
      <c r="K188" s="40"/>
      <c r="L188" s="28">
        <f t="shared" ca="1" si="27"/>
        <v>0</v>
      </c>
    </row>
    <row r="189" spans="2:12" ht="15.6" customHeight="1" x14ac:dyDescent="0.25">
      <c r="B189" s="38"/>
      <c r="C189" s="44"/>
      <c r="D189" s="35"/>
      <c r="E189" s="35"/>
      <c r="F189" s="40"/>
      <c r="G189" s="41"/>
      <c r="H189" s="41"/>
      <c r="I189" s="42"/>
      <c r="J189" s="41"/>
      <c r="K189" s="40"/>
      <c r="L189" s="28">
        <f t="shared" ref="L189:L193" ca="1" si="29">IF(ISERROR(OFFSET(L189,-1,0,1,1)+D189-E189),D189-E189,OFFSET(L189,-1,0,1,1)+D189-E189)</f>
        <v>0</v>
      </c>
    </row>
    <row r="190" spans="2:12" ht="15.6" customHeight="1" x14ac:dyDescent="0.25">
      <c r="B190" s="38"/>
      <c r="C190" s="44"/>
      <c r="D190" s="35"/>
      <c r="E190" s="35"/>
      <c r="F190" s="40"/>
      <c r="G190" s="41"/>
      <c r="H190" s="41"/>
      <c r="I190" s="42"/>
      <c r="J190" s="41"/>
      <c r="K190" s="40"/>
      <c r="L190" s="28">
        <f t="shared" ca="1" si="29"/>
        <v>0</v>
      </c>
    </row>
    <row r="191" spans="2:12" ht="15.6" customHeight="1" x14ac:dyDescent="0.25">
      <c r="B191" s="38"/>
      <c r="C191" s="44"/>
      <c r="D191" s="35"/>
      <c r="E191" s="35"/>
      <c r="F191" s="40"/>
      <c r="G191" s="41"/>
      <c r="H191" s="41"/>
      <c r="I191" s="42"/>
      <c r="J191" s="41"/>
      <c r="K191" s="40"/>
      <c r="L191" s="28">
        <f t="shared" ca="1" si="29"/>
        <v>0</v>
      </c>
    </row>
    <row r="192" spans="2:12" ht="15.6" customHeight="1" x14ac:dyDescent="0.25">
      <c r="B192" s="38"/>
      <c r="C192" s="44"/>
      <c r="D192" s="35"/>
      <c r="E192" s="35"/>
      <c r="F192" s="38"/>
      <c r="G192" s="41"/>
      <c r="H192" s="41"/>
      <c r="I192" s="42"/>
      <c r="J192" s="41"/>
      <c r="K192" s="40"/>
      <c r="L192" s="28">
        <f t="shared" ca="1" si="29"/>
        <v>0</v>
      </c>
    </row>
    <row r="193" spans="2:12" ht="15.6" customHeight="1" x14ac:dyDescent="0.25">
      <c r="B193" s="38"/>
      <c r="C193" s="44"/>
      <c r="D193" s="35"/>
      <c r="E193" s="35"/>
      <c r="F193" s="38"/>
      <c r="G193" s="41"/>
      <c r="H193" s="41"/>
      <c r="I193" s="42"/>
      <c r="J193" s="41"/>
      <c r="K193" s="40"/>
      <c r="L193" s="28">
        <f t="shared" ca="1" si="29"/>
        <v>0</v>
      </c>
    </row>
    <row r="194" spans="2:12" ht="15.6" customHeight="1" x14ac:dyDescent="0.25">
      <c r="B194" s="38"/>
      <c r="C194" s="44"/>
      <c r="D194" s="35"/>
      <c r="E194" s="35"/>
      <c r="F194" s="38"/>
      <c r="G194" s="41"/>
      <c r="H194" s="41"/>
      <c r="I194" s="42"/>
      <c r="J194" s="41"/>
      <c r="K194" s="40"/>
      <c r="L194" s="28">
        <f t="shared" ca="1" si="27"/>
        <v>0</v>
      </c>
    </row>
    <row r="195" spans="2:12" ht="15.6" customHeight="1" x14ac:dyDescent="0.25">
      <c r="B195" s="38"/>
      <c r="C195" s="44"/>
      <c r="D195" s="35"/>
      <c r="E195" s="35"/>
      <c r="F195" s="38"/>
      <c r="G195" s="41"/>
      <c r="H195" s="41"/>
      <c r="I195" s="42"/>
      <c r="J195" s="41"/>
      <c r="K195" s="40"/>
      <c r="L195" s="28">
        <f t="shared" ca="1" si="27"/>
        <v>0</v>
      </c>
    </row>
    <row r="196" spans="2:12" ht="15.6" customHeight="1" x14ac:dyDescent="0.25">
      <c r="B196" s="38"/>
      <c r="C196" s="39"/>
      <c r="D196" s="35"/>
      <c r="E196" s="35"/>
      <c r="F196" s="40"/>
      <c r="G196" s="41"/>
      <c r="H196" s="41"/>
      <c r="I196" s="42"/>
      <c r="J196" s="41"/>
      <c r="K196" s="40"/>
      <c r="L196" s="28">
        <f t="shared" ca="1" si="27"/>
        <v>0</v>
      </c>
    </row>
    <row r="197" spans="2:12" ht="15.6" customHeight="1" x14ac:dyDescent="0.25">
      <c r="B197" s="38"/>
      <c r="C197" s="39"/>
      <c r="D197" s="35"/>
      <c r="E197" s="35"/>
      <c r="F197" s="40"/>
      <c r="G197" s="41"/>
      <c r="H197" s="41"/>
      <c r="I197" s="42"/>
      <c r="J197" s="41"/>
      <c r="K197" s="40"/>
      <c r="L197" s="28">
        <f ca="1">IF(ISERROR(OFFSET(L197,-1,0,1,1)+D197-E197),D197-E197,OFFSET(L197,-1,0,1,1)+D197-E197)</f>
        <v>0</v>
      </c>
    </row>
    <row r="198" spans="2:12" ht="15.6" customHeight="1" x14ac:dyDescent="0.25">
      <c r="B198" s="38"/>
      <c r="C198" s="39"/>
      <c r="D198" s="35"/>
      <c r="E198" s="35"/>
      <c r="F198" s="40"/>
      <c r="G198" s="41"/>
      <c r="H198" s="41"/>
      <c r="I198" s="42"/>
      <c r="J198" s="41"/>
      <c r="K198" s="40"/>
      <c r="L198" s="28">
        <f t="shared" ca="1" si="27"/>
        <v>0</v>
      </c>
    </row>
    <row r="199" spans="2:12" ht="15.6" customHeight="1" x14ac:dyDescent="0.25">
      <c r="B199" s="38"/>
      <c r="C199" s="39"/>
      <c r="D199" s="35"/>
      <c r="E199" s="35"/>
      <c r="F199" s="40"/>
      <c r="G199" s="41"/>
      <c r="H199" s="41"/>
      <c r="I199" s="42"/>
      <c r="J199" s="41"/>
      <c r="K199" s="40"/>
      <c r="L199" s="28">
        <f ca="1">IF(ISERROR(OFFSET(L199,-1,0,1,1)+D199-E199),D199-E199,OFFSET(L199,-1,0,1,1)+D199-E199)</f>
        <v>0</v>
      </c>
    </row>
    <row r="200" spans="2:12" ht="15.6" customHeight="1" x14ac:dyDescent="0.25">
      <c r="B200" s="38"/>
      <c r="C200" s="39"/>
      <c r="D200" s="35"/>
      <c r="E200" s="35"/>
      <c r="F200" s="40"/>
      <c r="G200" s="41"/>
      <c r="H200" s="41"/>
      <c r="I200" s="42"/>
      <c r="J200" s="41"/>
      <c r="K200" s="40"/>
      <c r="L200" s="28">
        <f ca="1">IF(ISERROR(OFFSET(L200,-1,0,1,1)+D200-E200),D200-E200,OFFSET(L200,-1,0,1,1)+D200-E200)</f>
        <v>0</v>
      </c>
    </row>
    <row r="201" spans="2:12" ht="15.6" customHeight="1" x14ac:dyDescent="0.25">
      <c r="B201" s="38"/>
      <c r="C201" s="43"/>
      <c r="D201" s="35"/>
      <c r="E201" s="35"/>
      <c r="F201" s="40"/>
      <c r="G201" s="41"/>
      <c r="H201" s="41"/>
      <c r="I201" s="42"/>
      <c r="J201" s="41"/>
      <c r="K201" s="40"/>
      <c r="L201" s="28">
        <f t="shared" ca="1" si="27"/>
        <v>0</v>
      </c>
    </row>
    <row r="202" spans="2:12" ht="15.6" customHeight="1" x14ac:dyDescent="0.25">
      <c r="B202" s="47"/>
      <c r="C202" s="48"/>
      <c r="D202" s="52">
        <f>SUBTOTAL(109,MarEst2024[INGRESO])</f>
        <v>0</v>
      </c>
      <c r="E202" s="52">
        <f>SUBTOTAL(109,MarEst2024[EGRESO])</f>
        <v>0</v>
      </c>
      <c r="F202" s="49"/>
      <c r="G202" s="50"/>
      <c r="H202" s="50"/>
      <c r="I202" s="51"/>
      <c r="J202" s="50"/>
      <c r="K202" s="49"/>
      <c r="L202" s="53"/>
    </row>
    <row r="203" spans="2:12" ht="15.6" customHeight="1" x14ac:dyDescent="0.25">
      <c r="B203"/>
      <c r="C203" s="34"/>
      <c r="D203" s="35"/>
      <c r="E203" s="35"/>
      <c r="F203"/>
      <c r="G203" s="32"/>
      <c r="H203" s="32"/>
      <c r="I203"/>
      <c r="J203" s="32"/>
      <c r="K203"/>
      <c r="L203"/>
    </row>
    <row r="204" spans="2:12" ht="15.6" customHeight="1" x14ac:dyDescent="0.25">
      <c r="B204" s="76" t="s">
        <v>123</v>
      </c>
      <c r="C204" s="77"/>
      <c r="D204" s="77"/>
      <c r="E204" s="77"/>
      <c r="F204" s="77"/>
      <c r="G204" s="77"/>
      <c r="H204" s="77"/>
      <c r="I204" s="77"/>
      <c r="J204" s="77"/>
      <c r="K204" s="77"/>
      <c r="L204" s="77"/>
    </row>
    <row r="205" spans="2:12" ht="15.6" customHeight="1" x14ac:dyDescent="0.25">
      <c r="B205" s="36" t="s">
        <v>16</v>
      </c>
      <c r="C205" s="37" t="s">
        <v>17</v>
      </c>
      <c r="D205" s="46" t="s">
        <v>73</v>
      </c>
      <c r="E205" s="46" t="s">
        <v>74</v>
      </c>
      <c r="F205" s="37" t="s">
        <v>54</v>
      </c>
      <c r="G205" s="37" t="s">
        <v>76</v>
      </c>
      <c r="H205" s="37" t="s">
        <v>77</v>
      </c>
      <c r="I205" s="37" t="s">
        <v>75</v>
      </c>
      <c r="J205" s="37" t="s">
        <v>18</v>
      </c>
      <c r="K205" s="37" t="s">
        <v>64</v>
      </c>
      <c r="L205" s="37" t="s">
        <v>19</v>
      </c>
    </row>
    <row r="206" spans="2:12" ht="15.6" customHeight="1" x14ac:dyDescent="0.25">
      <c r="B206" s="38"/>
      <c r="C206" s="44"/>
      <c r="D206" s="35"/>
      <c r="E206" s="35"/>
      <c r="F206" s="38"/>
      <c r="G206" s="41"/>
      <c r="H206" s="41"/>
      <c r="I206" s="42"/>
      <c r="J206" s="41"/>
      <c r="K206" s="41"/>
      <c r="L206" s="28">
        <f t="shared" ref="L206:L237" ca="1" si="30">IF(ISERROR(OFFSET(L206,-1,0,1,1)+D206-E206),D206-E206,OFFSET(L206,-1,0,1,1)+D206-E206)</f>
        <v>0</v>
      </c>
    </row>
    <row r="207" spans="2:12" ht="15.6" customHeight="1" x14ac:dyDescent="0.25">
      <c r="B207" s="38"/>
      <c r="C207" s="44"/>
      <c r="D207" s="35"/>
      <c r="E207" s="35"/>
      <c r="F207" s="40"/>
      <c r="G207" s="41"/>
      <c r="H207" s="41"/>
      <c r="I207" s="42"/>
      <c r="J207" s="41"/>
      <c r="K207" s="40"/>
      <c r="L207" s="28">
        <f t="shared" ca="1" si="30"/>
        <v>0</v>
      </c>
    </row>
    <row r="208" spans="2:12" ht="15.6" customHeight="1" x14ac:dyDescent="0.25">
      <c r="B208" s="38"/>
      <c r="C208" s="44"/>
      <c r="D208" s="35"/>
      <c r="E208" s="35"/>
      <c r="F208" s="40"/>
      <c r="G208" s="41"/>
      <c r="H208" s="41"/>
      <c r="I208" s="42"/>
      <c r="J208" s="41"/>
      <c r="K208" s="40"/>
      <c r="L208" s="28">
        <f t="shared" ca="1" si="30"/>
        <v>0</v>
      </c>
    </row>
    <row r="209" spans="2:12" ht="15.6" customHeight="1" x14ac:dyDescent="0.25">
      <c r="B209" s="38"/>
      <c r="C209" s="44"/>
      <c r="D209" s="35"/>
      <c r="E209" s="35"/>
      <c r="F209" s="40"/>
      <c r="G209" s="41"/>
      <c r="H209" s="41"/>
      <c r="I209" s="42"/>
      <c r="J209" s="41"/>
      <c r="K209" s="40"/>
      <c r="L209" s="28">
        <f t="shared" ca="1" si="30"/>
        <v>0</v>
      </c>
    </row>
    <row r="210" spans="2:12" ht="15.6" customHeight="1" x14ac:dyDescent="0.25">
      <c r="B210" s="38"/>
      <c r="C210" s="44"/>
      <c r="D210" s="35"/>
      <c r="E210" s="35"/>
      <c r="F210" s="38"/>
      <c r="G210" s="41"/>
      <c r="H210" s="41"/>
      <c r="I210" s="42"/>
      <c r="J210" s="41"/>
      <c r="K210" s="40"/>
      <c r="L210" s="28">
        <f t="shared" ca="1" si="30"/>
        <v>0</v>
      </c>
    </row>
    <row r="211" spans="2:12" ht="15.6" customHeight="1" x14ac:dyDescent="0.25">
      <c r="B211" s="38"/>
      <c r="C211" s="44"/>
      <c r="D211" s="35"/>
      <c r="E211" s="35"/>
      <c r="F211" s="38"/>
      <c r="G211" s="41"/>
      <c r="H211" s="41"/>
      <c r="I211" s="42"/>
      <c r="J211" s="41"/>
      <c r="K211" s="40"/>
      <c r="L211" s="28">
        <f t="shared" ca="1" si="30"/>
        <v>0</v>
      </c>
    </row>
    <row r="212" spans="2:12" ht="15.6" customHeight="1" x14ac:dyDescent="0.25">
      <c r="B212" s="38"/>
      <c r="C212" s="44"/>
      <c r="D212" s="35"/>
      <c r="E212" s="35"/>
      <c r="F212" s="38"/>
      <c r="G212" s="41"/>
      <c r="H212" s="41"/>
      <c r="I212" s="42"/>
      <c r="J212" s="41"/>
      <c r="K212" s="40"/>
      <c r="L212" s="28">
        <f t="shared" ca="1" si="30"/>
        <v>0</v>
      </c>
    </row>
    <row r="213" spans="2:12" ht="15.6" customHeight="1" x14ac:dyDescent="0.25">
      <c r="B213" s="38"/>
      <c r="C213" s="44"/>
      <c r="D213" s="35"/>
      <c r="E213" s="35"/>
      <c r="F213" s="38"/>
      <c r="G213" s="41"/>
      <c r="H213" s="41"/>
      <c r="I213" s="42"/>
      <c r="J213" s="41"/>
      <c r="K213" s="40"/>
      <c r="L213" s="28">
        <f t="shared" ca="1" si="30"/>
        <v>0</v>
      </c>
    </row>
    <row r="214" spans="2:12" ht="15.6" customHeight="1" x14ac:dyDescent="0.25">
      <c r="B214" s="38"/>
      <c r="C214" s="44"/>
      <c r="D214" s="35"/>
      <c r="E214" s="35"/>
      <c r="F214" s="38"/>
      <c r="G214" s="41"/>
      <c r="H214" s="41"/>
      <c r="I214" s="42"/>
      <c r="J214" s="41"/>
      <c r="K214" s="40"/>
      <c r="L214" s="28">
        <f t="shared" ca="1" si="30"/>
        <v>0</v>
      </c>
    </row>
    <row r="215" spans="2:12" ht="15.6" customHeight="1" x14ac:dyDescent="0.25">
      <c r="B215" s="38"/>
      <c r="C215" s="44"/>
      <c r="D215" s="35"/>
      <c r="E215" s="35"/>
      <c r="F215" s="40"/>
      <c r="G215" s="41"/>
      <c r="H215" s="41"/>
      <c r="I215" s="42"/>
      <c r="J215" s="41"/>
      <c r="K215" s="40"/>
      <c r="L215" s="28">
        <f t="shared" ca="1" si="30"/>
        <v>0</v>
      </c>
    </row>
    <row r="216" spans="2:12" ht="15.6" customHeight="1" x14ac:dyDescent="0.25">
      <c r="B216" s="38"/>
      <c r="C216" s="44"/>
      <c r="D216" s="35"/>
      <c r="E216" s="35"/>
      <c r="F216" s="40"/>
      <c r="G216" s="41"/>
      <c r="H216" s="41"/>
      <c r="I216" s="42"/>
      <c r="J216" s="41"/>
      <c r="K216" s="40"/>
      <c r="L216" s="28">
        <f t="shared" ca="1" si="30"/>
        <v>0</v>
      </c>
    </row>
    <row r="217" spans="2:12" ht="15.6" customHeight="1" x14ac:dyDescent="0.25">
      <c r="B217" s="38"/>
      <c r="C217" s="44"/>
      <c r="D217" s="35"/>
      <c r="E217" s="35"/>
      <c r="F217" s="40"/>
      <c r="G217" s="41"/>
      <c r="H217" s="41"/>
      <c r="I217" s="42"/>
      <c r="J217" s="41"/>
      <c r="K217" s="40"/>
      <c r="L217" s="28">
        <f t="shared" ca="1" si="30"/>
        <v>0</v>
      </c>
    </row>
    <row r="218" spans="2:12" ht="15.6" customHeight="1" x14ac:dyDescent="0.25">
      <c r="B218" s="38"/>
      <c r="C218" s="44"/>
      <c r="D218" s="35"/>
      <c r="E218" s="35"/>
      <c r="F218" s="38"/>
      <c r="G218" s="41"/>
      <c r="H218" s="41"/>
      <c r="I218" s="42"/>
      <c r="J218" s="41"/>
      <c r="K218" s="40"/>
      <c r="L218" s="28">
        <f t="shared" ca="1" si="30"/>
        <v>0</v>
      </c>
    </row>
    <row r="219" spans="2:12" ht="15.6" customHeight="1" x14ac:dyDescent="0.25">
      <c r="B219" s="38"/>
      <c r="C219" s="44"/>
      <c r="D219" s="35"/>
      <c r="E219" s="35"/>
      <c r="F219" s="38"/>
      <c r="G219" s="41"/>
      <c r="H219" s="41"/>
      <c r="I219" s="42"/>
      <c r="J219" s="41"/>
      <c r="K219" s="40"/>
      <c r="L219" s="28">
        <f t="shared" ca="1" si="30"/>
        <v>0</v>
      </c>
    </row>
    <row r="220" spans="2:12" ht="15.6" customHeight="1" x14ac:dyDescent="0.25">
      <c r="B220" s="38"/>
      <c r="C220" s="44"/>
      <c r="D220" s="35"/>
      <c r="E220" s="35"/>
      <c r="F220" s="38"/>
      <c r="G220" s="41"/>
      <c r="H220" s="41"/>
      <c r="I220" s="42"/>
      <c r="J220" s="41"/>
      <c r="K220" s="40"/>
      <c r="L220" s="28">
        <f t="shared" ca="1" si="30"/>
        <v>0</v>
      </c>
    </row>
    <row r="221" spans="2:12" ht="15.6" customHeight="1" x14ac:dyDescent="0.25">
      <c r="B221" s="38"/>
      <c r="C221" s="44"/>
      <c r="D221" s="35"/>
      <c r="E221" s="35"/>
      <c r="F221" s="38"/>
      <c r="G221" s="41"/>
      <c r="H221" s="41"/>
      <c r="I221" s="42"/>
      <c r="J221" s="41"/>
      <c r="K221" s="40"/>
      <c r="L221" s="28">
        <f t="shared" ca="1" si="30"/>
        <v>0</v>
      </c>
    </row>
    <row r="222" spans="2:12" ht="15.6" customHeight="1" x14ac:dyDescent="0.25">
      <c r="B222" s="38"/>
      <c r="C222" s="39"/>
      <c r="D222" s="35"/>
      <c r="E222" s="35"/>
      <c r="F222" s="40"/>
      <c r="G222" s="41"/>
      <c r="H222" s="41"/>
      <c r="I222" s="42"/>
      <c r="J222" s="41"/>
      <c r="K222" s="40"/>
      <c r="L222" s="28">
        <f t="shared" ca="1" si="30"/>
        <v>0</v>
      </c>
    </row>
    <row r="223" spans="2:12" ht="15.6" customHeight="1" x14ac:dyDescent="0.25">
      <c r="B223" s="38"/>
      <c r="C223" s="39"/>
      <c r="D223" s="35"/>
      <c r="E223" s="35"/>
      <c r="F223" s="40"/>
      <c r="G223" s="41"/>
      <c r="H223" s="41"/>
      <c r="I223" s="42"/>
      <c r="J223" s="41"/>
      <c r="K223" s="40"/>
      <c r="L223" s="28">
        <f t="shared" ca="1" si="30"/>
        <v>0</v>
      </c>
    </row>
    <row r="224" spans="2:12" ht="15.6" customHeight="1" x14ac:dyDescent="0.25">
      <c r="B224" s="38"/>
      <c r="C224" s="44"/>
      <c r="D224" s="35"/>
      <c r="E224" s="35"/>
      <c r="F224" s="38"/>
      <c r="G224" s="41"/>
      <c r="H224" s="41"/>
      <c r="I224" s="42"/>
      <c r="J224" s="41"/>
      <c r="K224" s="40"/>
      <c r="L224" s="28">
        <f t="shared" ca="1" si="30"/>
        <v>0</v>
      </c>
    </row>
    <row r="225" spans="2:12" ht="15.6" customHeight="1" x14ac:dyDescent="0.25">
      <c r="B225" s="38"/>
      <c r="C225" s="44"/>
      <c r="D225" s="35"/>
      <c r="E225" s="35"/>
      <c r="F225" s="40"/>
      <c r="G225" s="41"/>
      <c r="H225" s="41"/>
      <c r="I225" s="42"/>
      <c r="J225" s="41"/>
      <c r="K225" s="40"/>
      <c r="L225" s="28">
        <f t="shared" ca="1" si="30"/>
        <v>0</v>
      </c>
    </row>
    <row r="226" spans="2:12" ht="15.6" customHeight="1" x14ac:dyDescent="0.25">
      <c r="B226" s="38"/>
      <c r="C226" s="44"/>
      <c r="D226" s="35"/>
      <c r="E226" s="35"/>
      <c r="F226" s="40"/>
      <c r="G226" s="41"/>
      <c r="H226" s="41"/>
      <c r="I226" s="42"/>
      <c r="J226" s="41"/>
      <c r="K226" s="40"/>
      <c r="L226" s="28">
        <f t="shared" ca="1" si="30"/>
        <v>0</v>
      </c>
    </row>
    <row r="227" spans="2:12" ht="15.6" customHeight="1" x14ac:dyDescent="0.25">
      <c r="B227" s="38"/>
      <c r="C227" s="44"/>
      <c r="D227" s="35"/>
      <c r="E227" s="35"/>
      <c r="F227" s="40"/>
      <c r="G227" s="41"/>
      <c r="H227" s="41"/>
      <c r="I227" s="42"/>
      <c r="J227" s="41"/>
      <c r="K227" s="40"/>
      <c r="L227" s="28">
        <f t="shared" ref="L227:L233" ca="1" si="31">IF(ISERROR(OFFSET(L227,-1,0,1,1)+D227-E227),D227-E227,OFFSET(L227,-1,0,1,1)+D227-E227)</f>
        <v>0</v>
      </c>
    </row>
    <row r="228" spans="2:12" ht="15.6" customHeight="1" x14ac:dyDescent="0.25">
      <c r="B228" s="38"/>
      <c r="C228" s="44"/>
      <c r="D228" s="35"/>
      <c r="E228" s="35"/>
      <c r="F228" s="38"/>
      <c r="G228" s="41"/>
      <c r="H228" s="41"/>
      <c r="I228" s="42"/>
      <c r="J228" s="41"/>
      <c r="K228" s="40"/>
      <c r="L228" s="28">
        <f t="shared" ca="1" si="31"/>
        <v>0</v>
      </c>
    </row>
    <row r="229" spans="2:12" ht="15.6" customHeight="1" x14ac:dyDescent="0.25">
      <c r="B229" s="38"/>
      <c r="C229" s="44"/>
      <c r="D229" s="35"/>
      <c r="E229" s="35"/>
      <c r="F229" s="38"/>
      <c r="G229" s="41"/>
      <c r="H229" s="41"/>
      <c r="I229" s="42"/>
      <c r="J229" s="41"/>
      <c r="K229" s="40"/>
      <c r="L229" s="28">
        <f t="shared" ca="1" si="31"/>
        <v>0</v>
      </c>
    </row>
    <row r="230" spans="2:12" ht="15.6" customHeight="1" x14ac:dyDescent="0.25">
      <c r="B230" s="38"/>
      <c r="C230" s="44"/>
      <c r="D230" s="35"/>
      <c r="E230" s="35"/>
      <c r="F230" s="38"/>
      <c r="G230" s="41"/>
      <c r="H230" s="41"/>
      <c r="I230" s="42"/>
      <c r="J230" s="41"/>
      <c r="K230" s="40"/>
      <c r="L230" s="28">
        <f t="shared" ca="1" si="31"/>
        <v>0</v>
      </c>
    </row>
    <row r="231" spans="2:12" ht="15.6" customHeight="1" x14ac:dyDescent="0.25">
      <c r="B231" s="38"/>
      <c r="C231" s="44"/>
      <c r="D231" s="35"/>
      <c r="E231" s="35"/>
      <c r="F231" s="38"/>
      <c r="G231" s="41"/>
      <c r="H231" s="41"/>
      <c r="I231" s="42"/>
      <c r="J231" s="41"/>
      <c r="K231" s="40"/>
      <c r="L231" s="28">
        <f t="shared" ca="1" si="31"/>
        <v>0</v>
      </c>
    </row>
    <row r="232" spans="2:12" ht="15.6" customHeight="1" x14ac:dyDescent="0.25">
      <c r="B232" s="38"/>
      <c r="C232" s="44"/>
      <c r="D232" s="35"/>
      <c r="E232" s="35"/>
      <c r="F232" s="38"/>
      <c r="G232" s="41"/>
      <c r="H232" s="41"/>
      <c r="I232" s="42"/>
      <c r="J232" s="41"/>
      <c r="K232" s="40"/>
      <c r="L232" s="28">
        <f t="shared" ca="1" si="31"/>
        <v>0</v>
      </c>
    </row>
    <row r="233" spans="2:12" ht="15.6" customHeight="1" x14ac:dyDescent="0.25">
      <c r="B233" s="38"/>
      <c r="C233" s="44"/>
      <c r="D233" s="35"/>
      <c r="E233" s="35"/>
      <c r="F233" s="40"/>
      <c r="G233" s="41"/>
      <c r="H233" s="41"/>
      <c r="I233" s="42"/>
      <c r="J233" s="41"/>
      <c r="K233" s="40"/>
      <c r="L233" s="28">
        <f t="shared" ca="1" si="31"/>
        <v>0</v>
      </c>
    </row>
    <row r="234" spans="2:12" ht="15.6" customHeight="1" x14ac:dyDescent="0.25">
      <c r="B234" s="38"/>
      <c r="C234" s="44"/>
      <c r="D234" s="35"/>
      <c r="E234" s="35"/>
      <c r="F234" s="40"/>
      <c r="G234" s="41"/>
      <c r="H234" s="41"/>
      <c r="I234" s="42"/>
      <c r="J234" s="41"/>
      <c r="K234" s="40"/>
      <c r="L234" s="28">
        <f t="shared" ca="1" si="30"/>
        <v>0</v>
      </c>
    </row>
    <row r="235" spans="2:12" ht="15.6" customHeight="1" x14ac:dyDescent="0.25">
      <c r="B235" s="38"/>
      <c r="C235" s="44"/>
      <c r="D235" s="35"/>
      <c r="E235" s="35"/>
      <c r="F235" s="40"/>
      <c r="G235" s="41"/>
      <c r="H235" s="41"/>
      <c r="I235" s="42"/>
      <c r="J235" s="41"/>
      <c r="K235" s="40"/>
      <c r="L235" s="28">
        <f t="shared" ca="1" si="30"/>
        <v>0</v>
      </c>
    </row>
    <row r="236" spans="2:12" ht="15.6" customHeight="1" x14ac:dyDescent="0.25">
      <c r="B236" s="38"/>
      <c r="C236" s="44"/>
      <c r="D236" s="35"/>
      <c r="E236" s="35"/>
      <c r="F236" s="38"/>
      <c r="G236" s="41"/>
      <c r="H236" s="41"/>
      <c r="I236" s="42"/>
      <c r="J236" s="41"/>
      <c r="K236" s="40"/>
      <c r="L236" s="28">
        <f t="shared" ca="1" si="30"/>
        <v>0</v>
      </c>
    </row>
    <row r="237" spans="2:12" ht="15.6" customHeight="1" x14ac:dyDescent="0.25">
      <c r="B237" s="38"/>
      <c r="C237" s="44"/>
      <c r="D237" s="35"/>
      <c r="E237" s="35"/>
      <c r="F237" s="38"/>
      <c r="G237" s="41"/>
      <c r="H237" s="41"/>
      <c r="I237" s="42"/>
      <c r="J237" s="41"/>
      <c r="K237" s="40"/>
      <c r="L237" s="28">
        <f t="shared" ca="1" si="30"/>
        <v>0</v>
      </c>
    </row>
    <row r="238" spans="2:12" ht="15.6" customHeight="1" x14ac:dyDescent="0.25">
      <c r="B238" s="38"/>
      <c r="C238" s="44"/>
      <c r="D238" s="35"/>
      <c r="E238" s="35"/>
      <c r="F238" s="38"/>
      <c r="G238" s="41"/>
      <c r="H238" s="41"/>
      <c r="I238" s="42"/>
      <c r="J238" s="41"/>
      <c r="K238" s="40"/>
      <c r="L238" s="28">
        <f t="shared" ref="L238:L239" ca="1" si="32">IF(ISERROR(OFFSET(L238,-1,0,1,1)+D238-E238),D238-E238,OFFSET(L238,-1,0,1,1)+D238-E238)</f>
        <v>0</v>
      </c>
    </row>
    <row r="239" spans="2:12" ht="15.6" customHeight="1" x14ac:dyDescent="0.25">
      <c r="B239" s="38"/>
      <c r="C239" s="44"/>
      <c r="D239" s="35"/>
      <c r="E239" s="35"/>
      <c r="F239" s="38"/>
      <c r="G239" s="41"/>
      <c r="H239" s="41"/>
      <c r="I239" s="42"/>
      <c r="J239" s="41"/>
      <c r="K239" s="40"/>
      <c r="L239" s="28">
        <f t="shared" ca="1" si="32"/>
        <v>0</v>
      </c>
    </row>
    <row r="240" spans="2:12" ht="15.6" customHeight="1" x14ac:dyDescent="0.25">
      <c r="B240" s="38"/>
      <c r="C240" s="39"/>
      <c r="D240" s="35"/>
      <c r="E240" s="35"/>
      <c r="F240" s="40"/>
      <c r="G240" s="41"/>
      <c r="H240" s="41"/>
      <c r="I240" s="42"/>
      <c r="J240" s="41"/>
      <c r="K240" s="40"/>
      <c r="L240" s="28">
        <f t="shared" ref="L240:L241" ca="1" si="33">IF(ISERROR(OFFSET(L240,-1,0,1,1)+D240-E240),D240-E240,OFFSET(L240,-1,0,1,1)+D240-E240)</f>
        <v>0</v>
      </c>
    </row>
    <row r="241" spans="2:12" ht="15.6" customHeight="1" x14ac:dyDescent="0.25">
      <c r="B241" s="38"/>
      <c r="C241" s="39"/>
      <c r="D241" s="35"/>
      <c r="E241" s="35"/>
      <c r="F241" s="40"/>
      <c r="G241" s="41"/>
      <c r="H241" s="41"/>
      <c r="I241" s="42"/>
      <c r="J241" s="41"/>
      <c r="K241" s="40"/>
      <c r="L241" s="28">
        <f t="shared" ca="1" si="33"/>
        <v>0</v>
      </c>
    </row>
    <row r="242" spans="2:12" ht="15.6" customHeight="1" x14ac:dyDescent="0.25">
      <c r="B242" s="38"/>
      <c r="C242" s="39"/>
      <c r="D242" s="35"/>
      <c r="E242" s="35"/>
      <c r="F242" s="40"/>
      <c r="G242" s="41"/>
      <c r="H242" s="41"/>
      <c r="I242" s="42"/>
      <c r="J242" s="41"/>
      <c r="K242" s="40"/>
      <c r="L242" s="28">
        <f ca="1">IF(ISERROR(OFFSET(L242,-1,0,1,1)+D242-E242),D242-E242,OFFSET(L242,-1,0,1,1)+D242-E242)</f>
        <v>0</v>
      </c>
    </row>
    <row r="243" spans="2:12" ht="15.6" customHeight="1" x14ac:dyDescent="0.25">
      <c r="B243" s="38"/>
      <c r="C243" s="39"/>
      <c r="D243" s="35"/>
      <c r="E243" s="35"/>
      <c r="F243" s="40"/>
      <c r="G243" s="41"/>
      <c r="H243" s="41"/>
      <c r="I243" s="42"/>
      <c r="J243" s="41"/>
      <c r="K243" s="40"/>
      <c r="L243" s="28">
        <f t="shared" ref="L243" ca="1" si="34">IF(ISERROR(OFFSET(L243,-1,0,1,1)+D243-E243),D243-E243,OFFSET(L243,-1,0,1,1)+D243-E243)</f>
        <v>0</v>
      </c>
    </row>
    <row r="244" spans="2:12" ht="15.6" customHeight="1" x14ac:dyDescent="0.25">
      <c r="B244" s="47"/>
      <c r="C244" s="48"/>
      <c r="D244" s="52">
        <f>SUBTOTAL(109,AbrEst2024[INGRESO])</f>
        <v>0</v>
      </c>
      <c r="E244" s="52">
        <f>SUBTOTAL(109,AbrEst2024[EGRESO])</f>
        <v>0</v>
      </c>
      <c r="F244" s="49"/>
      <c r="G244" s="50"/>
      <c r="H244" s="50"/>
      <c r="I244" s="51"/>
      <c r="J244" s="50"/>
      <c r="K244" s="49"/>
      <c r="L244" s="53"/>
    </row>
    <row r="246" spans="2:12" ht="15.75" x14ac:dyDescent="0.25">
      <c r="B246" s="76" t="s">
        <v>124</v>
      </c>
      <c r="C246" s="77"/>
      <c r="D246" s="77"/>
      <c r="E246" s="77"/>
      <c r="F246" s="77"/>
      <c r="G246" s="77"/>
      <c r="H246" s="77"/>
      <c r="I246" s="77"/>
      <c r="J246" s="77"/>
      <c r="K246" s="77"/>
      <c r="L246" s="77"/>
    </row>
    <row r="247" spans="2:12" x14ac:dyDescent="0.25">
      <c r="B247" s="36" t="s">
        <v>16</v>
      </c>
      <c r="C247" s="37" t="s">
        <v>17</v>
      </c>
      <c r="D247" s="46" t="s">
        <v>73</v>
      </c>
      <c r="E247" s="46" t="s">
        <v>74</v>
      </c>
      <c r="F247" s="37" t="s">
        <v>54</v>
      </c>
      <c r="G247" s="37" t="s">
        <v>76</v>
      </c>
      <c r="H247" s="37" t="s">
        <v>77</v>
      </c>
      <c r="I247" s="37" t="s">
        <v>75</v>
      </c>
      <c r="J247" s="37" t="s">
        <v>18</v>
      </c>
      <c r="K247" s="37" t="s">
        <v>64</v>
      </c>
      <c r="L247" s="37" t="s">
        <v>19</v>
      </c>
    </row>
    <row r="248" spans="2:12" x14ac:dyDescent="0.25">
      <c r="B248" s="38"/>
      <c r="C248" s="44"/>
      <c r="D248" s="35"/>
      <c r="E248" s="35"/>
      <c r="F248" s="38"/>
      <c r="G248" s="41"/>
      <c r="H248" s="41"/>
      <c r="I248" s="42"/>
      <c r="J248" s="41"/>
      <c r="K248" s="41"/>
      <c r="L248" s="28">
        <f t="shared" ref="L248:L285" ca="1" si="35">IF(ISERROR(OFFSET(L248,-1,0,1,1)+D248-E248),D248-E248,OFFSET(L248,-1,0,1,1)+D248-E248)</f>
        <v>0</v>
      </c>
    </row>
    <row r="249" spans="2:12" x14ac:dyDescent="0.25">
      <c r="B249" s="38"/>
      <c r="C249" s="44"/>
      <c r="D249" s="35"/>
      <c r="E249" s="35"/>
      <c r="F249" s="40"/>
      <c r="G249" s="41"/>
      <c r="H249" s="41"/>
      <c r="I249" s="42"/>
      <c r="J249" s="41"/>
      <c r="K249" s="40"/>
      <c r="L249" s="28">
        <f t="shared" ca="1" si="35"/>
        <v>0</v>
      </c>
    </row>
    <row r="250" spans="2:12" x14ac:dyDescent="0.25">
      <c r="B250" s="38"/>
      <c r="C250" s="44"/>
      <c r="D250" s="35"/>
      <c r="E250" s="35"/>
      <c r="F250" s="40"/>
      <c r="G250" s="41"/>
      <c r="H250" s="41"/>
      <c r="I250" s="42"/>
      <c r="J250" s="41"/>
      <c r="K250" s="40"/>
      <c r="L250" s="28">
        <f t="shared" ca="1" si="35"/>
        <v>0</v>
      </c>
    </row>
    <row r="251" spans="2:12" ht="15.6" customHeight="1" x14ac:dyDescent="0.25">
      <c r="B251" s="38"/>
      <c r="C251" s="44"/>
      <c r="D251" s="35"/>
      <c r="E251" s="35"/>
      <c r="F251" s="40"/>
      <c r="G251" s="41"/>
      <c r="H251" s="41"/>
      <c r="I251" s="42"/>
      <c r="J251" s="41"/>
      <c r="K251" s="40"/>
      <c r="L251" s="28">
        <f t="shared" ca="1" si="35"/>
        <v>0</v>
      </c>
    </row>
    <row r="252" spans="2:12" ht="15.6" customHeight="1" x14ac:dyDescent="0.25">
      <c r="B252" s="38"/>
      <c r="C252" s="44"/>
      <c r="D252" s="35"/>
      <c r="E252" s="35"/>
      <c r="F252" s="38"/>
      <c r="G252" s="41"/>
      <c r="H252" s="41"/>
      <c r="I252" s="42"/>
      <c r="J252" s="41"/>
      <c r="K252" s="40"/>
      <c r="L252" s="28">
        <f t="shared" ca="1" si="35"/>
        <v>0</v>
      </c>
    </row>
    <row r="253" spans="2:12" x14ac:dyDescent="0.25">
      <c r="B253" s="38"/>
      <c r="C253" s="44"/>
      <c r="D253" s="35"/>
      <c r="E253" s="35"/>
      <c r="F253" s="38"/>
      <c r="G253" s="41"/>
      <c r="H253" s="41"/>
      <c r="I253" s="42"/>
      <c r="J253" s="41"/>
      <c r="K253" s="40"/>
      <c r="L253" s="28">
        <f t="shared" ca="1" si="35"/>
        <v>0</v>
      </c>
    </row>
    <row r="254" spans="2:12" x14ac:dyDescent="0.25">
      <c r="B254" s="38"/>
      <c r="C254" s="44"/>
      <c r="D254" s="35"/>
      <c r="E254" s="35"/>
      <c r="F254" s="38"/>
      <c r="G254" s="41"/>
      <c r="H254" s="41"/>
      <c r="I254" s="42"/>
      <c r="J254" s="41"/>
      <c r="K254" s="40"/>
      <c r="L254" s="28">
        <f t="shared" ca="1" si="35"/>
        <v>0</v>
      </c>
    </row>
    <row r="255" spans="2:12" x14ac:dyDescent="0.25">
      <c r="B255" s="38"/>
      <c r="C255" s="44"/>
      <c r="D255" s="35"/>
      <c r="E255" s="35"/>
      <c r="F255" s="38"/>
      <c r="G255" s="41"/>
      <c r="H255" s="41"/>
      <c r="I255" s="42"/>
      <c r="J255" s="41"/>
      <c r="K255" s="40"/>
      <c r="L255" s="28">
        <f t="shared" ca="1" si="35"/>
        <v>0</v>
      </c>
    </row>
    <row r="256" spans="2:12" x14ac:dyDescent="0.25">
      <c r="B256" s="38"/>
      <c r="C256" s="44"/>
      <c r="D256" s="35"/>
      <c r="E256" s="35"/>
      <c r="F256" s="38"/>
      <c r="G256" s="41"/>
      <c r="H256" s="41"/>
      <c r="I256" s="42"/>
      <c r="J256" s="41"/>
      <c r="K256" s="40"/>
      <c r="L256" s="28">
        <f t="shared" ca="1" si="35"/>
        <v>0</v>
      </c>
    </row>
    <row r="257" spans="2:12" x14ac:dyDescent="0.25">
      <c r="B257" s="38"/>
      <c r="C257" s="44"/>
      <c r="D257" s="35"/>
      <c r="E257" s="35"/>
      <c r="F257" s="40"/>
      <c r="G257" s="41"/>
      <c r="H257" s="41"/>
      <c r="I257" s="42"/>
      <c r="J257" s="41"/>
      <c r="K257" s="40"/>
      <c r="L257" s="28">
        <f t="shared" ca="1" si="35"/>
        <v>0</v>
      </c>
    </row>
    <row r="258" spans="2:12" x14ac:dyDescent="0.25">
      <c r="B258" s="38"/>
      <c r="C258" s="44"/>
      <c r="D258" s="35"/>
      <c r="E258" s="35"/>
      <c r="F258" s="40"/>
      <c r="G258" s="41"/>
      <c r="H258" s="41"/>
      <c r="I258" s="42"/>
      <c r="J258" s="41"/>
      <c r="K258" s="40"/>
      <c r="L258" s="28">
        <f t="shared" ca="1" si="35"/>
        <v>0</v>
      </c>
    </row>
    <row r="259" spans="2:12" x14ac:dyDescent="0.25">
      <c r="B259" s="38"/>
      <c r="C259" s="44"/>
      <c r="D259" s="35"/>
      <c r="E259" s="35"/>
      <c r="F259" s="40"/>
      <c r="G259" s="41"/>
      <c r="H259" s="41"/>
      <c r="I259" s="42"/>
      <c r="J259" s="41"/>
      <c r="K259" s="40"/>
      <c r="L259" s="28">
        <f t="shared" ca="1" si="35"/>
        <v>0</v>
      </c>
    </row>
    <row r="260" spans="2:12" x14ac:dyDescent="0.25">
      <c r="B260" s="38"/>
      <c r="C260" s="44"/>
      <c r="D260" s="35"/>
      <c r="E260" s="35"/>
      <c r="F260" s="38"/>
      <c r="G260" s="41"/>
      <c r="H260" s="41"/>
      <c r="I260" s="42"/>
      <c r="J260" s="41"/>
      <c r="K260" s="40"/>
      <c r="L260" s="28">
        <f t="shared" ca="1" si="35"/>
        <v>0</v>
      </c>
    </row>
    <row r="261" spans="2:12" x14ac:dyDescent="0.25">
      <c r="B261" s="38"/>
      <c r="C261" s="44"/>
      <c r="D261" s="35"/>
      <c r="E261" s="35"/>
      <c r="F261" s="38"/>
      <c r="G261" s="41"/>
      <c r="H261" s="41"/>
      <c r="I261" s="42"/>
      <c r="J261" s="41"/>
      <c r="K261" s="40"/>
      <c r="L261" s="28">
        <f t="shared" ca="1" si="35"/>
        <v>0</v>
      </c>
    </row>
    <row r="262" spans="2:12" x14ac:dyDescent="0.25">
      <c r="B262" s="38"/>
      <c r="C262" s="44"/>
      <c r="D262" s="35"/>
      <c r="E262" s="35"/>
      <c r="F262" s="38"/>
      <c r="G262" s="41"/>
      <c r="H262" s="41"/>
      <c r="I262" s="42"/>
      <c r="J262" s="41"/>
      <c r="K262" s="40"/>
      <c r="L262" s="28">
        <f t="shared" ca="1" si="35"/>
        <v>0</v>
      </c>
    </row>
    <row r="263" spans="2:12" x14ac:dyDescent="0.25">
      <c r="B263" s="38"/>
      <c r="C263" s="44"/>
      <c r="D263" s="35"/>
      <c r="E263" s="35"/>
      <c r="F263" s="38"/>
      <c r="G263" s="41"/>
      <c r="H263" s="41"/>
      <c r="I263" s="42"/>
      <c r="J263" s="41"/>
      <c r="K263" s="40"/>
      <c r="L263" s="28">
        <f t="shared" ca="1" si="35"/>
        <v>0</v>
      </c>
    </row>
    <row r="264" spans="2:12" x14ac:dyDescent="0.25">
      <c r="B264" s="38"/>
      <c r="C264" s="39"/>
      <c r="D264" s="35"/>
      <c r="E264" s="35"/>
      <c r="F264" s="40"/>
      <c r="G264" s="41"/>
      <c r="H264" s="41"/>
      <c r="I264" s="42"/>
      <c r="J264" s="41"/>
      <c r="K264" s="40"/>
      <c r="L264" s="28">
        <f t="shared" ca="1" si="35"/>
        <v>0</v>
      </c>
    </row>
    <row r="265" spans="2:12" x14ac:dyDescent="0.25">
      <c r="B265" s="38"/>
      <c r="C265" s="39"/>
      <c r="D265" s="35"/>
      <c r="E265" s="35"/>
      <c r="F265" s="40"/>
      <c r="G265" s="41"/>
      <c r="H265" s="41"/>
      <c r="I265" s="42"/>
      <c r="J265" s="41"/>
      <c r="K265" s="40"/>
      <c r="L265" s="28">
        <f t="shared" ca="1" si="35"/>
        <v>0</v>
      </c>
    </row>
    <row r="266" spans="2:12" x14ac:dyDescent="0.25">
      <c r="B266" s="38"/>
      <c r="C266" s="44"/>
      <c r="D266" s="35"/>
      <c r="E266" s="35"/>
      <c r="F266" s="38"/>
      <c r="G266" s="41"/>
      <c r="H266" s="41"/>
      <c r="I266" s="42"/>
      <c r="J266" s="41"/>
      <c r="K266" s="40"/>
      <c r="L266" s="28">
        <f t="shared" ca="1" si="35"/>
        <v>0</v>
      </c>
    </row>
    <row r="267" spans="2:12" x14ac:dyDescent="0.25">
      <c r="B267" s="38"/>
      <c r="C267" s="44"/>
      <c r="D267" s="35"/>
      <c r="E267" s="35"/>
      <c r="F267" s="40"/>
      <c r="G267" s="41"/>
      <c r="H267" s="41"/>
      <c r="I267" s="42"/>
      <c r="J267" s="41"/>
      <c r="K267" s="40"/>
      <c r="L267" s="28">
        <f t="shared" ca="1" si="35"/>
        <v>0</v>
      </c>
    </row>
    <row r="268" spans="2:12" x14ac:dyDescent="0.25">
      <c r="B268" s="38"/>
      <c r="C268" s="44"/>
      <c r="D268" s="35"/>
      <c r="E268" s="35"/>
      <c r="F268" s="40"/>
      <c r="G268" s="41"/>
      <c r="H268" s="41"/>
      <c r="I268" s="42"/>
      <c r="J268" s="41"/>
      <c r="K268" s="40"/>
      <c r="L268" s="28">
        <f t="shared" ca="1" si="35"/>
        <v>0</v>
      </c>
    </row>
    <row r="269" spans="2:12" x14ac:dyDescent="0.25">
      <c r="B269" s="38"/>
      <c r="C269" s="44"/>
      <c r="D269" s="35"/>
      <c r="E269" s="35"/>
      <c r="F269" s="40"/>
      <c r="G269" s="41"/>
      <c r="H269" s="41"/>
      <c r="I269" s="42"/>
      <c r="J269" s="41"/>
      <c r="K269" s="40"/>
      <c r="L269" s="28">
        <f t="shared" ref="L269:L276" ca="1" si="36">IF(ISERROR(OFFSET(L269,-1,0,1,1)+D269-E269),D269-E269,OFFSET(L269,-1,0,1,1)+D269-E269)</f>
        <v>0</v>
      </c>
    </row>
    <row r="270" spans="2:12" x14ac:dyDescent="0.25">
      <c r="B270" s="38"/>
      <c r="C270" s="44"/>
      <c r="D270" s="35"/>
      <c r="E270" s="35"/>
      <c r="F270" s="38"/>
      <c r="G270" s="41"/>
      <c r="H270" s="41"/>
      <c r="I270" s="42"/>
      <c r="J270" s="41"/>
      <c r="K270" s="40"/>
      <c r="L270" s="28">
        <f t="shared" ca="1" si="36"/>
        <v>0</v>
      </c>
    </row>
    <row r="271" spans="2:12" x14ac:dyDescent="0.25">
      <c r="B271" s="38"/>
      <c r="C271" s="44"/>
      <c r="D271" s="35"/>
      <c r="E271" s="35"/>
      <c r="F271" s="38"/>
      <c r="G271" s="41"/>
      <c r="H271" s="41"/>
      <c r="I271" s="42"/>
      <c r="J271" s="41"/>
      <c r="K271" s="40"/>
      <c r="L271" s="28">
        <f t="shared" ca="1" si="36"/>
        <v>0</v>
      </c>
    </row>
    <row r="272" spans="2:12" x14ac:dyDescent="0.25">
      <c r="B272" s="38"/>
      <c r="C272" s="44"/>
      <c r="D272" s="35"/>
      <c r="E272" s="35"/>
      <c r="F272" s="38"/>
      <c r="G272" s="41"/>
      <c r="H272" s="41"/>
      <c r="I272" s="42"/>
      <c r="J272" s="41"/>
      <c r="K272" s="40"/>
      <c r="L272" s="28">
        <f t="shared" ca="1" si="36"/>
        <v>0</v>
      </c>
    </row>
    <row r="273" spans="2:12" x14ac:dyDescent="0.25">
      <c r="B273" s="38"/>
      <c r="C273" s="44"/>
      <c r="D273" s="35"/>
      <c r="E273" s="35"/>
      <c r="F273" s="38"/>
      <c r="G273" s="41"/>
      <c r="H273" s="41"/>
      <c r="I273" s="42"/>
      <c r="J273" s="41"/>
      <c r="K273" s="40"/>
      <c r="L273" s="28">
        <f t="shared" ca="1" si="36"/>
        <v>0</v>
      </c>
    </row>
    <row r="274" spans="2:12" x14ac:dyDescent="0.25">
      <c r="B274" s="38"/>
      <c r="C274" s="44"/>
      <c r="D274" s="35"/>
      <c r="E274" s="35"/>
      <c r="F274" s="38"/>
      <c r="G274" s="41"/>
      <c r="H274" s="41"/>
      <c r="I274" s="42"/>
      <c r="J274" s="41"/>
      <c r="K274" s="40"/>
      <c r="L274" s="28">
        <f t="shared" ca="1" si="36"/>
        <v>0</v>
      </c>
    </row>
    <row r="275" spans="2:12" x14ac:dyDescent="0.25">
      <c r="B275" s="38"/>
      <c r="C275" s="44"/>
      <c r="D275" s="35"/>
      <c r="E275" s="35"/>
      <c r="F275" s="40"/>
      <c r="G275" s="41"/>
      <c r="H275" s="41"/>
      <c r="I275" s="42"/>
      <c r="J275" s="41"/>
      <c r="K275" s="40"/>
      <c r="L275" s="28">
        <f t="shared" ca="1" si="36"/>
        <v>0</v>
      </c>
    </row>
    <row r="276" spans="2:12" x14ac:dyDescent="0.25">
      <c r="B276" s="38"/>
      <c r="C276" s="44"/>
      <c r="D276" s="35"/>
      <c r="E276" s="35"/>
      <c r="F276" s="40"/>
      <c r="G276" s="41"/>
      <c r="H276" s="41"/>
      <c r="I276" s="42"/>
      <c r="J276" s="41"/>
      <c r="K276" s="40"/>
      <c r="L276" s="28">
        <f t="shared" ca="1" si="36"/>
        <v>0</v>
      </c>
    </row>
    <row r="277" spans="2:12" x14ac:dyDescent="0.25">
      <c r="B277" s="38"/>
      <c r="C277" s="44"/>
      <c r="D277" s="35"/>
      <c r="E277" s="35"/>
      <c r="F277" s="40"/>
      <c r="G277" s="41"/>
      <c r="H277" s="41"/>
      <c r="I277" s="42"/>
      <c r="J277" s="41"/>
      <c r="K277" s="40"/>
      <c r="L277" s="28">
        <f t="shared" ca="1" si="35"/>
        <v>0</v>
      </c>
    </row>
    <row r="278" spans="2:12" x14ac:dyDescent="0.25">
      <c r="B278" s="38"/>
      <c r="C278" s="44"/>
      <c r="D278" s="35"/>
      <c r="E278" s="35"/>
      <c r="F278" s="38"/>
      <c r="G278" s="41"/>
      <c r="H278" s="41"/>
      <c r="I278" s="42"/>
      <c r="J278" s="41"/>
      <c r="K278" s="40"/>
      <c r="L278" s="28">
        <f t="shared" ca="1" si="35"/>
        <v>0</v>
      </c>
    </row>
    <row r="279" spans="2:12" x14ac:dyDescent="0.25">
      <c r="B279" s="38"/>
      <c r="C279" s="44"/>
      <c r="D279" s="35"/>
      <c r="E279" s="35"/>
      <c r="F279" s="38"/>
      <c r="G279" s="41"/>
      <c r="H279" s="41"/>
      <c r="I279" s="42"/>
      <c r="J279" s="41"/>
      <c r="K279" s="40"/>
      <c r="L279" s="28">
        <f t="shared" ca="1" si="35"/>
        <v>0</v>
      </c>
    </row>
    <row r="280" spans="2:12" x14ac:dyDescent="0.25">
      <c r="B280" s="38"/>
      <c r="C280" s="44"/>
      <c r="D280" s="35"/>
      <c r="E280" s="35"/>
      <c r="F280" s="38"/>
      <c r="G280" s="41"/>
      <c r="H280" s="41"/>
      <c r="I280" s="42"/>
      <c r="J280" s="41"/>
      <c r="K280" s="40"/>
      <c r="L280" s="28">
        <f t="shared" ca="1" si="35"/>
        <v>0</v>
      </c>
    </row>
    <row r="281" spans="2:12" x14ac:dyDescent="0.25">
      <c r="B281" s="38"/>
      <c r="C281" s="44"/>
      <c r="D281" s="35"/>
      <c r="E281" s="35"/>
      <c r="F281" s="38"/>
      <c r="G281" s="41"/>
      <c r="H281" s="41"/>
      <c r="I281" s="42"/>
      <c r="J281" s="41"/>
      <c r="K281" s="40"/>
      <c r="L281" s="28">
        <f t="shared" ca="1" si="35"/>
        <v>0</v>
      </c>
    </row>
    <row r="282" spans="2:12" x14ac:dyDescent="0.25">
      <c r="B282" s="38"/>
      <c r="C282" s="39"/>
      <c r="D282" s="35"/>
      <c r="E282" s="35"/>
      <c r="F282" s="40"/>
      <c r="G282" s="41"/>
      <c r="H282" s="41"/>
      <c r="I282" s="42"/>
      <c r="J282" s="41"/>
      <c r="K282" s="40"/>
      <c r="L282" s="28">
        <f t="shared" ca="1" si="35"/>
        <v>0</v>
      </c>
    </row>
    <row r="283" spans="2:12" x14ac:dyDescent="0.25">
      <c r="B283" s="38"/>
      <c r="C283" s="39"/>
      <c r="D283" s="35"/>
      <c r="E283" s="35"/>
      <c r="F283" s="40"/>
      <c r="G283" s="41"/>
      <c r="H283" s="41"/>
      <c r="I283" s="42"/>
      <c r="J283" s="41"/>
      <c r="K283" s="40"/>
      <c r="L283" s="28">
        <f t="shared" ca="1" si="35"/>
        <v>0</v>
      </c>
    </row>
    <row r="284" spans="2:12" x14ac:dyDescent="0.25">
      <c r="B284" s="38"/>
      <c r="C284" s="39"/>
      <c r="D284" s="35"/>
      <c r="E284" s="35"/>
      <c r="F284" s="40"/>
      <c r="G284" s="41"/>
      <c r="H284" s="41"/>
      <c r="I284" s="42"/>
      <c r="J284" s="41"/>
      <c r="K284" s="40"/>
      <c r="L284" s="28">
        <f ca="1">IF(ISERROR(OFFSET(L284,-1,0,1,1)+D284-E284),D284-E284,OFFSET(L284,-1,0,1,1)+D284-E284)</f>
        <v>0</v>
      </c>
    </row>
    <row r="285" spans="2:12" x14ac:dyDescent="0.25">
      <c r="B285" s="38"/>
      <c r="C285" s="45"/>
      <c r="D285" s="35"/>
      <c r="E285" s="35"/>
      <c r="F285" s="38"/>
      <c r="G285" s="41"/>
      <c r="H285" s="41"/>
      <c r="I285" s="42"/>
      <c r="J285" s="41"/>
      <c r="K285" s="40"/>
      <c r="L285" s="28">
        <f t="shared" ca="1" si="35"/>
        <v>0</v>
      </c>
    </row>
    <row r="286" spans="2:12" x14ac:dyDescent="0.25">
      <c r="B286" s="47"/>
      <c r="C286" s="48"/>
      <c r="D286" s="52">
        <f>SUBTOTAL(109,MayEst_2024[INGRESO])</f>
        <v>0</v>
      </c>
      <c r="E286" s="52">
        <f>SUBTOTAL(109,MayEst_2024[EGRESO])</f>
        <v>0</v>
      </c>
      <c r="F286" s="49"/>
      <c r="G286" s="50"/>
      <c r="H286" s="50"/>
      <c r="I286" s="51"/>
      <c r="J286" s="50"/>
      <c r="K286" s="49"/>
      <c r="L286" s="53"/>
    </row>
    <row r="287" spans="2:12" ht="15.75" x14ac:dyDescent="0.25">
      <c r="B287"/>
      <c r="C287" s="34"/>
      <c r="D287" s="35"/>
      <c r="E287" s="35"/>
      <c r="F287"/>
      <c r="G287" s="32"/>
      <c r="H287" s="32"/>
      <c r="I287"/>
      <c r="J287" s="32"/>
      <c r="K287"/>
      <c r="L287"/>
    </row>
    <row r="288" spans="2:12" ht="15.75" x14ac:dyDescent="0.25">
      <c r="B288" s="76" t="s">
        <v>125</v>
      </c>
      <c r="C288" s="77"/>
      <c r="D288" s="77"/>
      <c r="E288" s="77"/>
      <c r="F288" s="77"/>
      <c r="G288" s="77"/>
      <c r="H288" s="77"/>
      <c r="I288" s="77"/>
      <c r="J288" s="77"/>
      <c r="K288" s="77"/>
      <c r="L288" s="77"/>
    </row>
    <row r="289" spans="2:12" x14ac:dyDescent="0.25">
      <c r="B289" s="36" t="s">
        <v>16</v>
      </c>
      <c r="C289" s="37" t="s">
        <v>17</v>
      </c>
      <c r="D289" s="46" t="s">
        <v>73</v>
      </c>
      <c r="E289" s="46" t="s">
        <v>74</v>
      </c>
      <c r="F289" s="37" t="s">
        <v>54</v>
      </c>
      <c r="G289" s="37" t="s">
        <v>76</v>
      </c>
      <c r="H289" s="37" t="s">
        <v>77</v>
      </c>
      <c r="I289" s="37" t="s">
        <v>75</v>
      </c>
      <c r="J289" s="37" t="s">
        <v>18</v>
      </c>
      <c r="K289" s="37" t="s">
        <v>64</v>
      </c>
      <c r="L289" s="37" t="s">
        <v>19</v>
      </c>
    </row>
    <row r="290" spans="2:12" x14ac:dyDescent="0.25">
      <c r="B290" s="38"/>
      <c r="C290" s="44"/>
      <c r="D290" s="35"/>
      <c r="E290" s="35"/>
      <c r="F290" s="38"/>
      <c r="G290" s="41"/>
      <c r="H290" s="41"/>
      <c r="I290" s="42"/>
      <c r="J290" s="41"/>
      <c r="K290" s="41"/>
      <c r="L290" s="28">
        <f t="shared" ref="L290:L337" ca="1" si="37">IF(ISERROR(OFFSET(L290,-1,0,1,1)+D290-E290),D290-E290,OFFSET(L290,-1,0,1,1)+D290-E290)</f>
        <v>0</v>
      </c>
    </row>
    <row r="291" spans="2:12" x14ac:dyDescent="0.25">
      <c r="B291" s="38"/>
      <c r="C291" s="44"/>
      <c r="D291" s="35"/>
      <c r="E291" s="35"/>
      <c r="F291" s="40"/>
      <c r="G291" s="41"/>
      <c r="H291" s="41"/>
      <c r="I291" s="42"/>
      <c r="J291" s="41"/>
      <c r="K291" s="40"/>
      <c r="L291" s="28">
        <f t="shared" ca="1" si="37"/>
        <v>0</v>
      </c>
    </row>
    <row r="292" spans="2:12" x14ac:dyDescent="0.25">
      <c r="B292" s="38"/>
      <c r="C292" s="44"/>
      <c r="D292" s="35"/>
      <c r="E292" s="35"/>
      <c r="F292" s="40"/>
      <c r="G292" s="41"/>
      <c r="H292" s="41"/>
      <c r="I292" s="42"/>
      <c r="J292" s="41"/>
      <c r="K292" s="40"/>
      <c r="L292" s="28">
        <f t="shared" ca="1" si="37"/>
        <v>0</v>
      </c>
    </row>
    <row r="293" spans="2:12" ht="12.6" customHeight="1" x14ac:dyDescent="0.25">
      <c r="B293" s="38"/>
      <c r="C293" s="44"/>
      <c r="D293" s="35"/>
      <c r="E293" s="35"/>
      <c r="F293" s="40"/>
      <c r="G293" s="41"/>
      <c r="H293" s="41"/>
      <c r="I293" s="42"/>
      <c r="J293" s="41"/>
      <c r="K293" s="40"/>
      <c r="L293" s="28">
        <f t="shared" ca="1" si="37"/>
        <v>0</v>
      </c>
    </row>
    <row r="294" spans="2:12" ht="12.6" customHeight="1" x14ac:dyDescent="0.25">
      <c r="B294" s="38"/>
      <c r="C294" s="44"/>
      <c r="D294" s="35"/>
      <c r="E294" s="35"/>
      <c r="F294" s="38"/>
      <c r="G294" s="41"/>
      <c r="H294" s="41"/>
      <c r="I294" s="42"/>
      <c r="J294" s="41"/>
      <c r="K294" s="40"/>
      <c r="L294" s="28">
        <f t="shared" ca="1" si="37"/>
        <v>0</v>
      </c>
    </row>
    <row r="295" spans="2:12" x14ac:dyDescent="0.25">
      <c r="B295" s="38"/>
      <c r="C295" s="44"/>
      <c r="D295" s="35"/>
      <c r="E295" s="35"/>
      <c r="F295" s="38"/>
      <c r="G295" s="41"/>
      <c r="H295" s="41"/>
      <c r="I295" s="42"/>
      <c r="J295" s="41"/>
      <c r="K295" s="40"/>
      <c r="L295" s="28">
        <f t="shared" ca="1" si="37"/>
        <v>0</v>
      </c>
    </row>
    <row r="296" spans="2:12" x14ac:dyDescent="0.25">
      <c r="B296" s="38"/>
      <c r="C296" s="44"/>
      <c r="D296" s="35"/>
      <c r="E296" s="35"/>
      <c r="F296" s="38"/>
      <c r="G296" s="41"/>
      <c r="H296" s="41"/>
      <c r="I296" s="42"/>
      <c r="J296" s="41"/>
      <c r="K296" s="40"/>
      <c r="L296" s="28">
        <f t="shared" ca="1" si="37"/>
        <v>0</v>
      </c>
    </row>
    <row r="297" spans="2:12" x14ac:dyDescent="0.25">
      <c r="B297" s="38"/>
      <c r="C297" s="44"/>
      <c r="D297" s="35"/>
      <c r="E297" s="35"/>
      <c r="F297" s="38"/>
      <c r="G297" s="41"/>
      <c r="H297" s="41"/>
      <c r="I297" s="42"/>
      <c r="J297" s="41"/>
      <c r="K297" s="40"/>
      <c r="L297" s="28">
        <f t="shared" ca="1" si="37"/>
        <v>0</v>
      </c>
    </row>
    <row r="298" spans="2:12" x14ac:dyDescent="0.25">
      <c r="B298" s="38"/>
      <c r="C298" s="44"/>
      <c r="D298" s="35"/>
      <c r="E298" s="35"/>
      <c r="F298" s="38"/>
      <c r="G298" s="41"/>
      <c r="H298" s="41"/>
      <c r="I298" s="42"/>
      <c r="J298" s="41"/>
      <c r="K298" s="40"/>
      <c r="L298" s="28">
        <f t="shared" ca="1" si="37"/>
        <v>0</v>
      </c>
    </row>
    <row r="299" spans="2:12" x14ac:dyDescent="0.25">
      <c r="B299" s="38"/>
      <c r="C299" s="44"/>
      <c r="D299" s="35"/>
      <c r="E299" s="35"/>
      <c r="F299" s="40"/>
      <c r="G299" s="41"/>
      <c r="H299" s="41"/>
      <c r="I299" s="42"/>
      <c r="J299" s="41"/>
      <c r="K299" s="40"/>
      <c r="L299" s="28">
        <f t="shared" ca="1" si="37"/>
        <v>0</v>
      </c>
    </row>
    <row r="300" spans="2:12" x14ac:dyDescent="0.25">
      <c r="B300" s="38"/>
      <c r="C300" s="44"/>
      <c r="D300" s="35"/>
      <c r="E300" s="35"/>
      <c r="F300" s="40"/>
      <c r="G300" s="41"/>
      <c r="H300" s="41"/>
      <c r="I300" s="42"/>
      <c r="J300" s="41"/>
      <c r="K300" s="40"/>
      <c r="L300" s="28">
        <f t="shared" ca="1" si="37"/>
        <v>0</v>
      </c>
    </row>
    <row r="301" spans="2:12" x14ac:dyDescent="0.25">
      <c r="B301" s="38"/>
      <c r="C301" s="44"/>
      <c r="D301" s="35"/>
      <c r="E301" s="35"/>
      <c r="F301" s="40"/>
      <c r="G301" s="41"/>
      <c r="H301" s="41"/>
      <c r="I301" s="42"/>
      <c r="J301" s="41"/>
      <c r="K301" s="40"/>
      <c r="L301" s="28">
        <f t="shared" ca="1" si="37"/>
        <v>0</v>
      </c>
    </row>
    <row r="302" spans="2:12" x14ac:dyDescent="0.25">
      <c r="B302" s="38"/>
      <c r="C302" s="44"/>
      <c r="D302" s="35"/>
      <c r="E302" s="35"/>
      <c r="F302" s="38"/>
      <c r="G302" s="41"/>
      <c r="H302" s="41"/>
      <c r="I302" s="42"/>
      <c r="J302" s="41"/>
      <c r="K302" s="40"/>
      <c r="L302" s="28">
        <f t="shared" ca="1" si="37"/>
        <v>0</v>
      </c>
    </row>
    <row r="303" spans="2:12" x14ac:dyDescent="0.25">
      <c r="B303" s="38"/>
      <c r="C303" s="44"/>
      <c r="D303" s="35"/>
      <c r="E303" s="35"/>
      <c r="F303" s="38"/>
      <c r="G303" s="41"/>
      <c r="H303" s="41"/>
      <c r="I303" s="42"/>
      <c r="J303" s="41"/>
      <c r="K303" s="40"/>
      <c r="L303" s="28">
        <f t="shared" ca="1" si="37"/>
        <v>0</v>
      </c>
    </row>
    <row r="304" spans="2:12" x14ac:dyDescent="0.25">
      <c r="B304" s="38"/>
      <c r="C304" s="44"/>
      <c r="D304" s="35"/>
      <c r="E304" s="35"/>
      <c r="F304" s="38"/>
      <c r="G304" s="41"/>
      <c r="H304" s="41"/>
      <c r="I304" s="42"/>
      <c r="J304" s="41"/>
      <c r="K304" s="40"/>
      <c r="L304" s="28">
        <f t="shared" ca="1" si="37"/>
        <v>0</v>
      </c>
    </row>
    <row r="305" spans="2:12" x14ac:dyDescent="0.25">
      <c r="B305" s="38"/>
      <c r="C305" s="44"/>
      <c r="D305" s="35"/>
      <c r="E305" s="35"/>
      <c r="F305" s="38"/>
      <c r="G305" s="41"/>
      <c r="H305" s="41"/>
      <c r="I305" s="42"/>
      <c r="J305" s="41"/>
      <c r="K305" s="40"/>
      <c r="L305" s="28">
        <f t="shared" ca="1" si="37"/>
        <v>0</v>
      </c>
    </row>
    <row r="306" spans="2:12" x14ac:dyDescent="0.25">
      <c r="B306" s="38"/>
      <c r="C306" s="39"/>
      <c r="D306" s="35"/>
      <c r="E306" s="35"/>
      <c r="F306" s="40"/>
      <c r="G306" s="41"/>
      <c r="H306" s="41"/>
      <c r="I306" s="42"/>
      <c r="J306" s="41"/>
      <c r="K306" s="40"/>
      <c r="L306" s="28">
        <f t="shared" ca="1" si="37"/>
        <v>0</v>
      </c>
    </row>
    <row r="307" spans="2:12" x14ac:dyDescent="0.25">
      <c r="B307" s="38"/>
      <c r="C307" s="39"/>
      <c r="D307" s="35"/>
      <c r="E307" s="35"/>
      <c r="F307" s="40"/>
      <c r="G307" s="41"/>
      <c r="H307" s="41"/>
      <c r="I307" s="42"/>
      <c r="J307" s="41"/>
      <c r="K307" s="40"/>
      <c r="L307" s="28">
        <f t="shared" ca="1" si="37"/>
        <v>0</v>
      </c>
    </row>
    <row r="308" spans="2:12" x14ac:dyDescent="0.25">
      <c r="B308" s="38"/>
      <c r="C308" s="39"/>
      <c r="D308" s="35"/>
      <c r="E308" s="35"/>
      <c r="F308" s="38"/>
      <c r="G308" s="41"/>
      <c r="H308" s="41"/>
      <c r="I308" s="42"/>
      <c r="J308" s="41"/>
      <c r="K308" s="40"/>
      <c r="L308" s="28">
        <f t="shared" ca="1" si="37"/>
        <v>0</v>
      </c>
    </row>
    <row r="309" spans="2:12" x14ac:dyDescent="0.25">
      <c r="B309" s="38"/>
      <c r="C309" s="39"/>
      <c r="D309" s="35"/>
      <c r="E309" s="35"/>
      <c r="F309" s="40"/>
      <c r="G309" s="41"/>
      <c r="H309" s="41"/>
      <c r="I309" s="42"/>
      <c r="J309" s="41"/>
      <c r="K309" s="40"/>
      <c r="L309" s="28">
        <f t="shared" ca="1" si="37"/>
        <v>0</v>
      </c>
    </row>
    <row r="310" spans="2:12" x14ac:dyDescent="0.25">
      <c r="B310" s="38"/>
      <c r="C310" s="39"/>
      <c r="D310" s="35"/>
      <c r="E310" s="35"/>
      <c r="F310" s="40"/>
      <c r="G310" s="41"/>
      <c r="H310" s="41"/>
      <c r="I310" s="42"/>
      <c r="J310" s="41"/>
      <c r="K310" s="40"/>
      <c r="L310" s="28">
        <f t="shared" ca="1" si="37"/>
        <v>0</v>
      </c>
    </row>
    <row r="311" spans="2:12" x14ac:dyDescent="0.25">
      <c r="B311" s="38"/>
      <c r="C311" s="39"/>
      <c r="D311" s="35"/>
      <c r="E311" s="35"/>
      <c r="F311" s="40"/>
      <c r="G311" s="41"/>
      <c r="H311" s="41"/>
      <c r="I311" s="42"/>
      <c r="J311" s="41"/>
      <c r="K311" s="40"/>
      <c r="L311" s="28">
        <f t="shared" ca="1" si="37"/>
        <v>0</v>
      </c>
    </row>
    <row r="312" spans="2:12" x14ac:dyDescent="0.25">
      <c r="B312" s="38"/>
      <c r="C312" s="39"/>
      <c r="D312" s="35"/>
      <c r="E312" s="35"/>
      <c r="F312" s="38"/>
      <c r="G312" s="41"/>
      <c r="H312" s="41"/>
      <c r="I312" s="42"/>
      <c r="J312" s="41"/>
      <c r="K312" s="40"/>
      <c r="L312" s="28">
        <f t="shared" ca="1" si="37"/>
        <v>0</v>
      </c>
    </row>
    <row r="313" spans="2:12" x14ac:dyDescent="0.25">
      <c r="B313" s="38"/>
      <c r="C313" s="39"/>
      <c r="D313" s="35"/>
      <c r="E313" s="35"/>
      <c r="F313" s="38"/>
      <c r="G313" s="41"/>
      <c r="H313" s="41"/>
      <c r="I313" s="42"/>
      <c r="J313" s="41"/>
      <c r="K313" s="40"/>
      <c r="L313" s="28">
        <f t="shared" ca="1" si="37"/>
        <v>0</v>
      </c>
    </row>
    <row r="314" spans="2:12" x14ac:dyDescent="0.25">
      <c r="B314" s="38"/>
      <c r="C314" s="39"/>
      <c r="D314" s="35"/>
      <c r="E314" s="35"/>
      <c r="F314" s="38"/>
      <c r="G314" s="41"/>
      <c r="H314" s="41"/>
      <c r="I314" s="42"/>
      <c r="J314" s="41"/>
      <c r="K314" s="40"/>
      <c r="L314" s="28">
        <f t="shared" ref="L314:L318" ca="1" si="38">IF(ISERROR(OFFSET(L314,-1,0,1,1)+D314-E314),D314-E314,OFFSET(L314,-1,0,1,1)+D314-E314)</f>
        <v>0</v>
      </c>
    </row>
    <row r="315" spans="2:12" x14ac:dyDescent="0.25">
      <c r="B315" s="38"/>
      <c r="C315" s="39"/>
      <c r="D315" s="35"/>
      <c r="E315" s="35"/>
      <c r="F315" s="38"/>
      <c r="G315" s="41"/>
      <c r="H315" s="41"/>
      <c r="I315" s="42"/>
      <c r="J315" s="41"/>
      <c r="K315" s="40"/>
      <c r="L315" s="28">
        <f t="shared" ca="1" si="38"/>
        <v>0</v>
      </c>
    </row>
    <row r="316" spans="2:12" x14ac:dyDescent="0.25">
      <c r="B316" s="38"/>
      <c r="C316" s="39"/>
      <c r="D316" s="35"/>
      <c r="E316" s="35"/>
      <c r="F316" s="38"/>
      <c r="G316" s="41"/>
      <c r="H316" s="41"/>
      <c r="I316" s="42"/>
      <c r="J316" s="41"/>
      <c r="K316" s="40"/>
      <c r="L316" s="28">
        <f t="shared" ca="1" si="38"/>
        <v>0</v>
      </c>
    </row>
    <row r="317" spans="2:12" x14ac:dyDescent="0.25">
      <c r="B317" s="38"/>
      <c r="C317" s="39"/>
      <c r="D317" s="35"/>
      <c r="E317" s="35"/>
      <c r="F317" s="40"/>
      <c r="G317" s="41"/>
      <c r="H317" s="41"/>
      <c r="I317" s="42"/>
      <c r="J317" s="41"/>
      <c r="K317" s="40"/>
      <c r="L317" s="28">
        <f t="shared" ca="1" si="38"/>
        <v>0</v>
      </c>
    </row>
    <row r="318" spans="2:12" x14ac:dyDescent="0.25">
      <c r="B318" s="38"/>
      <c r="C318" s="39"/>
      <c r="D318" s="35"/>
      <c r="E318" s="35"/>
      <c r="F318" s="40"/>
      <c r="G318" s="41"/>
      <c r="H318" s="41"/>
      <c r="I318" s="42"/>
      <c r="J318" s="41"/>
      <c r="K318" s="40"/>
      <c r="L318" s="28">
        <f t="shared" ca="1" si="38"/>
        <v>0</v>
      </c>
    </row>
    <row r="319" spans="2:12" x14ac:dyDescent="0.25">
      <c r="B319" s="38"/>
      <c r="C319" s="39"/>
      <c r="D319" s="35"/>
      <c r="E319" s="35"/>
      <c r="F319" s="40"/>
      <c r="G319" s="41"/>
      <c r="H319" s="41"/>
      <c r="I319" s="42"/>
      <c r="J319" s="41"/>
      <c r="K319" s="40"/>
      <c r="L319" s="28">
        <f t="shared" ref="L319:L323" ca="1" si="39">IF(ISERROR(OFFSET(L319,-1,0,1,1)+D319-E319),D319-E319,OFFSET(L319,-1,0,1,1)+D319-E319)</f>
        <v>0</v>
      </c>
    </row>
    <row r="320" spans="2:12" x14ac:dyDescent="0.25">
      <c r="B320" s="38"/>
      <c r="C320" s="39"/>
      <c r="D320" s="35"/>
      <c r="E320" s="35"/>
      <c r="F320" s="38"/>
      <c r="G320" s="41"/>
      <c r="H320" s="41"/>
      <c r="I320" s="42"/>
      <c r="J320" s="41"/>
      <c r="K320" s="40"/>
      <c r="L320" s="28">
        <f t="shared" ca="1" si="39"/>
        <v>0</v>
      </c>
    </row>
    <row r="321" spans="2:12" x14ac:dyDescent="0.25">
      <c r="B321" s="38"/>
      <c r="C321" s="39"/>
      <c r="D321" s="35"/>
      <c r="E321" s="35"/>
      <c r="F321" s="38"/>
      <c r="G321" s="41"/>
      <c r="H321" s="41"/>
      <c r="I321" s="42"/>
      <c r="J321" s="41"/>
      <c r="K321" s="40"/>
      <c r="L321" s="28">
        <f t="shared" ca="1" si="39"/>
        <v>0</v>
      </c>
    </row>
    <row r="322" spans="2:12" x14ac:dyDescent="0.25">
      <c r="B322" s="38"/>
      <c r="C322" s="39"/>
      <c r="D322" s="35"/>
      <c r="E322" s="35"/>
      <c r="F322" s="38"/>
      <c r="G322" s="41"/>
      <c r="H322" s="41"/>
      <c r="I322" s="42"/>
      <c r="J322" s="41"/>
      <c r="K322" s="40"/>
      <c r="L322" s="28">
        <f t="shared" ca="1" si="39"/>
        <v>0</v>
      </c>
    </row>
    <row r="323" spans="2:12" x14ac:dyDescent="0.25">
      <c r="B323" s="38"/>
      <c r="C323" s="39"/>
      <c r="D323" s="35"/>
      <c r="E323" s="35"/>
      <c r="F323" s="38"/>
      <c r="G323" s="41"/>
      <c r="H323" s="41"/>
      <c r="I323" s="42"/>
      <c r="J323" s="41"/>
      <c r="K323" s="40"/>
      <c r="L323" s="28">
        <f t="shared" ca="1" si="39"/>
        <v>0</v>
      </c>
    </row>
    <row r="324" spans="2:12" x14ac:dyDescent="0.25">
      <c r="B324" s="38"/>
      <c r="C324" s="39"/>
      <c r="D324" s="35"/>
      <c r="E324" s="35"/>
      <c r="F324" s="38"/>
      <c r="G324" s="41"/>
      <c r="H324" s="41"/>
      <c r="I324" s="42"/>
      <c r="J324" s="41"/>
      <c r="K324" s="40"/>
      <c r="L324" s="28">
        <f t="shared" ref="L324:L326" ca="1" si="40">IF(ISERROR(OFFSET(L324,-1,0,1,1)+D324-E324),D324-E324,OFFSET(L324,-1,0,1,1)+D324-E324)</f>
        <v>0</v>
      </c>
    </row>
    <row r="325" spans="2:12" x14ac:dyDescent="0.25">
      <c r="B325" s="38"/>
      <c r="C325" s="39"/>
      <c r="D325" s="35"/>
      <c r="E325" s="35"/>
      <c r="F325" s="40"/>
      <c r="G325" s="41"/>
      <c r="H325" s="41"/>
      <c r="I325" s="42"/>
      <c r="J325" s="41"/>
      <c r="K325" s="40"/>
      <c r="L325" s="28">
        <f t="shared" ca="1" si="40"/>
        <v>0</v>
      </c>
    </row>
    <row r="326" spans="2:12" x14ac:dyDescent="0.25">
      <c r="B326" s="38"/>
      <c r="C326" s="39"/>
      <c r="D326" s="35"/>
      <c r="E326" s="35"/>
      <c r="F326" s="40"/>
      <c r="G326" s="41"/>
      <c r="H326" s="41"/>
      <c r="I326" s="42"/>
      <c r="J326" s="41"/>
      <c r="K326" s="40"/>
      <c r="L326" s="28">
        <f t="shared" ca="1" si="40"/>
        <v>0</v>
      </c>
    </row>
    <row r="327" spans="2:12" x14ac:dyDescent="0.25">
      <c r="B327" s="38"/>
      <c r="C327" s="39"/>
      <c r="D327" s="35"/>
      <c r="E327" s="35"/>
      <c r="F327" s="40"/>
      <c r="G327" s="41"/>
      <c r="H327" s="41"/>
      <c r="I327" s="42"/>
      <c r="J327" s="41"/>
      <c r="K327" s="40"/>
      <c r="L327" s="28">
        <f t="shared" ref="L327:L329" ca="1" si="41">IF(ISERROR(OFFSET(L327,-1,0,1,1)+D327-E327),D327-E327,OFFSET(L327,-1,0,1,1)+D327-E327)</f>
        <v>0</v>
      </c>
    </row>
    <row r="328" spans="2:12" x14ac:dyDescent="0.25">
      <c r="B328" s="38"/>
      <c r="C328" s="39"/>
      <c r="D328" s="35"/>
      <c r="E328" s="35"/>
      <c r="F328" s="38"/>
      <c r="G328" s="41"/>
      <c r="H328" s="41"/>
      <c r="I328" s="42"/>
      <c r="J328" s="41"/>
      <c r="K328" s="40"/>
      <c r="L328" s="28">
        <f t="shared" ca="1" si="41"/>
        <v>0</v>
      </c>
    </row>
    <row r="329" spans="2:12" x14ac:dyDescent="0.25">
      <c r="B329" s="38"/>
      <c r="C329" s="39"/>
      <c r="D329" s="35"/>
      <c r="E329" s="35"/>
      <c r="F329" s="38"/>
      <c r="G329" s="41"/>
      <c r="H329" s="41"/>
      <c r="I329" s="42"/>
      <c r="J329" s="41"/>
      <c r="K329" s="40"/>
      <c r="L329" s="28">
        <f t="shared" ca="1" si="41"/>
        <v>0</v>
      </c>
    </row>
    <row r="330" spans="2:12" x14ac:dyDescent="0.25">
      <c r="B330" s="38"/>
      <c r="C330" s="39"/>
      <c r="D330" s="35"/>
      <c r="E330" s="35"/>
      <c r="F330" s="38"/>
      <c r="G330" s="41"/>
      <c r="H330" s="41"/>
      <c r="I330" s="42"/>
      <c r="J330" s="41"/>
      <c r="K330" s="40"/>
      <c r="L330" s="28">
        <f ca="1">IF(ISERROR(OFFSET(L330,-1,0,1,1)+D330-E330),D330-E330,OFFSET(L330,-1,0,1,1)+D330-E330)</f>
        <v>0</v>
      </c>
    </row>
    <row r="331" spans="2:12" x14ac:dyDescent="0.25">
      <c r="B331" s="38"/>
      <c r="C331" s="39"/>
      <c r="D331" s="35"/>
      <c r="E331" s="35"/>
      <c r="F331" s="38"/>
      <c r="G331" s="41"/>
      <c r="H331" s="41"/>
      <c r="I331" s="42"/>
      <c r="J331" s="41"/>
      <c r="K331" s="40"/>
      <c r="L331" s="28">
        <f ca="1">IF(ISERROR(OFFSET(L331,-1,0,1,1)+D331-E331),D331-E331,OFFSET(L331,-1,0,1,1)+D331-E331)</f>
        <v>0</v>
      </c>
    </row>
    <row r="332" spans="2:12" x14ac:dyDescent="0.25">
      <c r="B332" s="38"/>
      <c r="C332" s="39"/>
      <c r="D332" s="35"/>
      <c r="E332" s="35"/>
      <c r="F332" s="40"/>
      <c r="G332" s="41"/>
      <c r="H332" s="41"/>
      <c r="I332" s="42"/>
      <c r="J332" s="41"/>
      <c r="K332" s="40"/>
      <c r="L332" s="28">
        <f t="shared" ca="1" si="37"/>
        <v>0</v>
      </c>
    </row>
    <row r="333" spans="2:12" x14ac:dyDescent="0.25">
      <c r="B333" s="38"/>
      <c r="C333" s="39"/>
      <c r="D333" s="35"/>
      <c r="E333" s="35"/>
      <c r="F333" s="40"/>
      <c r="G333" s="41"/>
      <c r="H333" s="41"/>
      <c r="I333" s="42"/>
      <c r="J333" s="41"/>
      <c r="K333" s="40"/>
      <c r="L333" s="28">
        <f ca="1">IF(ISERROR(OFFSET(L333,-1,0,1,1)+D333-E333),D333-E333,OFFSET(L333,-1,0,1,1)+D333-E333)</f>
        <v>0</v>
      </c>
    </row>
    <row r="334" spans="2:12" x14ac:dyDescent="0.25">
      <c r="B334" s="38"/>
      <c r="C334" s="39"/>
      <c r="D334" s="35"/>
      <c r="E334" s="35"/>
      <c r="F334" s="40"/>
      <c r="G334" s="41"/>
      <c r="H334" s="41"/>
      <c r="I334" s="42"/>
      <c r="J334" s="41"/>
      <c r="K334" s="40"/>
      <c r="L334" s="28">
        <f t="shared" ca="1" si="37"/>
        <v>0</v>
      </c>
    </row>
    <row r="335" spans="2:12" x14ac:dyDescent="0.25">
      <c r="B335" s="38"/>
      <c r="C335" s="39"/>
      <c r="D335" s="35"/>
      <c r="E335" s="35"/>
      <c r="F335" s="40"/>
      <c r="G335" s="41"/>
      <c r="H335" s="41"/>
      <c r="I335" s="42"/>
      <c r="J335" s="41"/>
      <c r="K335" s="40"/>
      <c r="L335" s="28">
        <f ca="1">IF(ISERROR(OFFSET(L335,-1,0,1,1)+D335-E335),D335-E335,OFFSET(L335,-1,0,1,1)+D335-E335)</f>
        <v>0</v>
      </c>
    </row>
    <row r="336" spans="2:12" x14ac:dyDescent="0.25">
      <c r="B336" s="38"/>
      <c r="C336" s="39"/>
      <c r="D336" s="35"/>
      <c r="E336" s="35"/>
      <c r="F336" s="40"/>
      <c r="G336" s="41"/>
      <c r="H336" s="41"/>
      <c r="I336" s="42"/>
      <c r="J336" s="41"/>
      <c r="K336" s="40"/>
      <c r="L336" s="28">
        <f ca="1">IF(ISERROR(OFFSET(L336,-1,0,1,1)+D336-E336),D336-E336,OFFSET(L336,-1,0,1,1)+D336-E336)</f>
        <v>0</v>
      </c>
    </row>
    <row r="337" spans="2:12" x14ac:dyDescent="0.25">
      <c r="B337" s="38"/>
      <c r="C337" s="45"/>
      <c r="D337" s="35"/>
      <c r="E337" s="35"/>
      <c r="F337" s="38"/>
      <c r="G337" s="41"/>
      <c r="H337" s="41"/>
      <c r="I337" s="42"/>
      <c r="J337" s="41"/>
      <c r="K337" s="40"/>
      <c r="L337" s="28">
        <f t="shared" ca="1" si="37"/>
        <v>0</v>
      </c>
    </row>
    <row r="338" spans="2:12" x14ac:dyDescent="0.25">
      <c r="B338" s="47"/>
      <c r="C338" s="48"/>
      <c r="D338" s="52">
        <f>SUBTOTAL(109,JunEst_2024[INGRESO])</f>
        <v>0</v>
      </c>
      <c r="E338" s="52">
        <f>SUBTOTAL(109,JunEst_2024[EGRESO])</f>
        <v>0</v>
      </c>
      <c r="F338" s="49"/>
      <c r="G338" s="50"/>
      <c r="H338" s="50"/>
      <c r="I338" s="51"/>
      <c r="J338" s="50"/>
      <c r="K338" s="49"/>
      <c r="L338" s="53"/>
    </row>
    <row r="339" spans="2:12" ht="15.75" x14ac:dyDescent="0.25">
      <c r="B339"/>
      <c r="C339" s="34"/>
      <c r="D339" s="35"/>
      <c r="E339" s="35"/>
      <c r="F339"/>
      <c r="G339" s="32"/>
      <c r="H339" s="32"/>
      <c r="I339"/>
      <c r="J339" s="32"/>
      <c r="K339"/>
      <c r="L339"/>
    </row>
    <row r="340" spans="2:12" ht="15.75" x14ac:dyDescent="0.25">
      <c r="B340" s="76" t="s">
        <v>126</v>
      </c>
      <c r="C340" s="77"/>
      <c r="D340" s="77"/>
      <c r="E340" s="77"/>
      <c r="F340" s="77"/>
      <c r="G340" s="77"/>
      <c r="H340" s="77"/>
      <c r="I340" s="77"/>
      <c r="J340" s="77"/>
      <c r="K340" s="77"/>
      <c r="L340" s="77"/>
    </row>
    <row r="341" spans="2:12" x14ac:dyDescent="0.25">
      <c r="B341" s="36" t="s">
        <v>16</v>
      </c>
      <c r="C341" s="37" t="s">
        <v>17</v>
      </c>
      <c r="D341" s="46" t="s">
        <v>73</v>
      </c>
      <c r="E341" s="46" t="s">
        <v>74</v>
      </c>
      <c r="F341" s="37" t="s">
        <v>54</v>
      </c>
      <c r="G341" s="37" t="s">
        <v>76</v>
      </c>
      <c r="H341" s="37" t="s">
        <v>77</v>
      </c>
      <c r="I341" s="37" t="s">
        <v>75</v>
      </c>
      <c r="J341" s="37" t="s">
        <v>18</v>
      </c>
      <c r="K341" s="37" t="s">
        <v>64</v>
      </c>
      <c r="L341" s="37" t="s">
        <v>19</v>
      </c>
    </row>
    <row r="342" spans="2:12" x14ac:dyDescent="0.25">
      <c r="B342" s="38"/>
      <c r="C342" s="44"/>
      <c r="D342" s="35"/>
      <c r="E342" s="35"/>
      <c r="F342" s="38"/>
      <c r="G342" s="41"/>
      <c r="H342" s="41"/>
      <c r="I342" s="42"/>
      <c r="J342" s="41"/>
      <c r="K342" s="41"/>
      <c r="L342" s="28">
        <f t="shared" ref="L342:L379" ca="1" si="42">IF(ISERROR(OFFSET(L342,-1,0,1,1)+D342-E342),D342-E342,OFFSET(L342,-1,0,1,1)+D342-E342)</f>
        <v>0</v>
      </c>
    </row>
    <row r="343" spans="2:12" x14ac:dyDescent="0.25">
      <c r="B343" s="38"/>
      <c r="C343" s="44"/>
      <c r="D343" s="35"/>
      <c r="E343" s="35"/>
      <c r="F343" s="40"/>
      <c r="G343" s="41"/>
      <c r="H343" s="41"/>
      <c r="I343" s="42"/>
      <c r="J343" s="41"/>
      <c r="K343" s="40"/>
      <c r="L343" s="28">
        <f t="shared" ca="1" si="42"/>
        <v>0</v>
      </c>
    </row>
    <row r="344" spans="2:12" x14ac:dyDescent="0.25">
      <c r="B344" s="38"/>
      <c r="C344" s="44"/>
      <c r="D344" s="35"/>
      <c r="E344" s="35"/>
      <c r="F344" s="40"/>
      <c r="G344" s="41"/>
      <c r="H344" s="41"/>
      <c r="I344" s="42"/>
      <c r="J344" s="41"/>
      <c r="K344" s="40"/>
      <c r="L344" s="28">
        <f t="shared" ca="1" si="42"/>
        <v>0</v>
      </c>
    </row>
    <row r="345" spans="2:12" ht="12.6" customHeight="1" x14ac:dyDescent="0.25">
      <c r="B345" s="38"/>
      <c r="C345" s="44"/>
      <c r="D345" s="35"/>
      <c r="E345" s="35"/>
      <c r="F345" s="40"/>
      <c r="G345" s="41"/>
      <c r="H345" s="41"/>
      <c r="I345" s="42"/>
      <c r="J345" s="41"/>
      <c r="K345" s="40"/>
      <c r="L345" s="28">
        <f t="shared" ca="1" si="42"/>
        <v>0</v>
      </c>
    </row>
    <row r="346" spans="2:12" ht="12.6" customHeight="1" x14ac:dyDescent="0.25">
      <c r="B346" s="38"/>
      <c r="C346" s="44"/>
      <c r="D346" s="35"/>
      <c r="E346" s="35"/>
      <c r="F346" s="38"/>
      <c r="G346" s="41"/>
      <c r="H346" s="41"/>
      <c r="I346" s="42"/>
      <c r="J346" s="41"/>
      <c r="K346" s="40"/>
      <c r="L346" s="28">
        <f t="shared" ca="1" si="42"/>
        <v>0</v>
      </c>
    </row>
    <row r="347" spans="2:12" x14ac:dyDescent="0.25">
      <c r="B347" s="38"/>
      <c r="C347" s="44"/>
      <c r="D347" s="35"/>
      <c r="E347" s="35"/>
      <c r="F347" s="38"/>
      <c r="G347" s="41"/>
      <c r="H347" s="41"/>
      <c r="I347" s="42"/>
      <c r="J347" s="41"/>
      <c r="K347" s="40"/>
      <c r="L347" s="28">
        <f t="shared" ca="1" si="42"/>
        <v>0</v>
      </c>
    </row>
    <row r="348" spans="2:12" x14ac:dyDescent="0.25">
      <c r="B348" s="38"/>
      <c r="C348" s="44"/>
      <c r="D348" s="35"/>
      <c r="E348" s="35"/>
      <c r="F348" s="38"/>
      <c r="G348" s="41"/>
      <c r="H348" s="41"/>
      <c r="I348" s="42"/>
      <c r="J348" s="41"/>
      <c r="K348" s="40"/>
      <c r="L348" s="28">
        <f t="shared" ca="1" si="42"/>
        <v>0</v>
      </c>
    </row>
    <row r="349" spans="2:12" x14ac:dyDescent="0.25">
      <c r="B349" s="38"/>
      <c r="C349" s="44"/>
      <c r="D349" s="35"/>
      <c r="E349" s="35"/>
      <c r="F349" s="38"/>
      <c r="G349" s="41"/>
      <c r="H349" s="41"/>
      <c r="I349" s="42"/>
      <c r="J349" s="41"/>
      <c r="K349" s="40"/>
      <c r="L349" s="28">
        <f t="shared" ca="1" si="42"/>
        <v>0</v>
      </c>
    </row>
    <row r="350" spans="2:12" x14ac:dyDescent="0.25">
      <c r="B350" s="38"/>
      <c r="C350" s="44"/>
      <c r="D350" s="35"/>
      <c r="E350" s="35"/>
      <c r="F350" s="38"/>
      <c r="G350" s="41"/>
      <c r="H350" s="41"/>
      <c r="I350" s="42"/>
      <c r="J350" s="41"/>
      <c r="K350" s="40"/>
      <c r="L350" s="28">
        <f t="shared" ca="1" si="42"/>
        <v>0</v>
      </c>
    </row>
    <row r="351" spans="2:12" x14ac:dyDescent="0.25">
      <c r="B351" s="38"/>
      <c r="C351" s="44"/>
      <c r="D351" s="35"/>
      <c r="E351" s="35"/>
      <c r="F351" s="40"/>
      <c r="G351" s="41"/>
      <c r="H351" s="41"/>
      <c r="I351" s="42"/>
      <c r="J351" s="41"/>
      <c r="K351" s="40"/>
      <c r="L351" s="28">
        <f t="shared" ca="1" si="42"/>
        <v>0</v>
      </c>
    </row>
    <row r="352" spans="2:12" x14ac:dyDescent="0.25">
      <c r="B352" s="38"/>
      <c r="C352" s="44"/>
      <c r="D352" s="35"/>
      <c r="E352" s="35"/>
      <c r="F352" s="40"/>
      <c r="G352" s="41"/>
      <c r="H352" s="41"/>
      <c r="I352" s="42"/>
      <c r="J352" s="41"/>
      <c r="K352" s="40"/>
      <c r="L352" s="28">
        <f t="shared" ca="1" si="42"/>
        <v>0</v>
      </c>
    </row>
    <row r="353" spans="2:12" x14ac:dyDescent="0.25">
      <c r="B353" s="38"/>
      <c r="C353" s="44"/>
      <c r="D353" s="35"/>
      <c r="E353" s="35"/>
      <c r="F353" s="40"/>
      <c r="G353" s="41"/>
      <c r="H353" s="41"/>
      <c r="I353" s="42"/>
      <c r="J353" s="41"/>
      <c r="K353" s="40"/>
      <c r="L353" s="28">
        <f t="shared" ca="1" si="42"/>
        <v>0</v>
      </c>
    </row>
    <row r="354" spans="2:12" x14ac:dyDescent="0.25">
      <c r="B354" s="38"/>
      <c r="C354" s="44"/>
      <c r="D354" s="35"/>
      <c r="E354" s="35"/>
      <c r="F354" s="38"/>
      <c r="G354" s="41"/>
      <c r="H354" s="41"/>
      <c r="I354" s="42"/>
      <c r="J354" s="41"/>
      <c r="K354" s="40"/>
      <c r="L354" s="28">
        <f t="shared" ca="1" si="42"/>
        <v>0</v>
      </c>
    </row>
    <row r="355" spans="2:12" x14ac:dyDescent="0.25">
      <c r="B355" s="38"/>
      <c r="C355" s="44"/>
      <c r="D355" s="35"/>
      <c r="E355" s="35"/>
      <c r="F355" s="38"/>
      <c r="G355" s="41"/>
      <c r="H355" s="41"/>
      <c r="I355" s="42"/>
      <c r="J355" s="41"/>
      <c r="K355" s="40"/>
      <c r="L355" s="28">
        <f t="shared" ca="1" si="42"/>
        <v>0</v>
      </c>
    </row>
    <row r="356" spans="2:12" x14ac:dyDescent="0.25">
      <c r="B356" s="38"/>
      <c r="C356" s="44"/>
      <c r="D356" s="35"/>
      <c r="E356" s="35"/>
      <c r="F356" s="38"/>
      <c r="G356" s="41"/>
      <c r="H356" s="41"/>
      <c r="I356" s="42"/>
      <c r="J356" s="41"/>
      <c r="K356" s="40"/>
      <c r="L356" s="28">
        <f t="shared" ca="1" si="42"/>
        <v>0</v>
      </c>
    </row>
    <row r="357" spans="2:12" x14ac:dyDescent="0.25">
      <c r="B357" s="38"/>
      <c r="C357" s="44"/>
      <c r="D357" s="35"/>
      <c r="E357" s="35"/>
      <c r="F357" s="38"/>
      <c r="G357" s="41"/>
      <c r="H357" s="41"/>
      <c r="I357" s="42"/>
      <c r="J357" s="41"/>
      <c r="K357" s="40"/>
      <c r="L357" s="28">
        <f t="shared" ca="1" si="42"/>
        <v>0</v>
      </c>
    </row>
    <row r="358" spans="2:12" x14ac:dyDescent="0.25">
      <c r="B358" s="38"/>
      <c r="C358" s="39"/>
      <c r="D358" s="35"/>
      <c r="E358" s="35"/>
      <c r="F358" s="40"/>
      <c r="G358" s="41"/>
      <c r="H358" s="41"/>
      <c r="I358" s="42"/>
      <c r="J358" s="41"/>
      <c r="K358" s="40"/>
      <c r="L358" s="28">
        <f t="shared" ca="1" si="42"/>
        <v>0</v>
      </c>
    </row>
    <row r="359" spans="2:12" x14ac:dyDescent="0.25">
      <c r="B359" s="38"/>
      <c r="C359" s="39"/>
      <c r="D359" s="35"/>
      <c r="E359" s="35"/>
      <c r="F359" s="40"/>
      <c r="G359" s="41"/>
      <c r="H359" s="41"/>
      <c r="I359" s="42"/>
      <c r="J359" s="41"/>
      <c r="K359" s="40"/>
      <c r="L359" s="28">
        <f t="shared" ca="1" si="42"/>
        <v>0</v>
      </c>
    </row>
    <row r="360" spans="2:12" x14ac:dyDescent="0.25">
      <c r="B360" s="38"/>
      <c r="C360" s="44"/>
      <c r="D360" s="35"/>
      <c r="E360" s="35"/>
      <c r="F360" s="38"/>
      <c r="G360" s="41"/>
      <c r="H360" s="41"/>
      <c r="I360" s="42"/>
      <c r="J360" s="41"/>
      <c r="K360" s="40"/>
      <c r="L360" s="28">
        <f t="shared" ca="1" si="42"/>
        <v>0</v>
      </c>
    </row>
    <row r="361" spans="2:12" x14ac:dyDescent="0.25">
      <c r="B361" s="38"/>
      <c r="C361" s="44"/>
      <c r="D361" s="35"/>
      <c r="E361" s="35"/>
      <c r="F361" s="40"/>
      <c r="G361" s="41"/>
      <c r="H361" s="41"/>
      <c r="I361" s="42"/>
      <c r="J361" s="41"/>
      <c r="K361" s="40"/>
      <c r="L361" s="28">
        <f t="shared" ca="1" si="42"/>
        <v>0</v>
      </c>
    </row>
    <row r="362" spans="2:12" x14ac:dyDescent="0.25">
      <c r="B362" s="38"/>
      <c r="C362" s="44"/>
      <c r="D362" s="35"/>
      <c r="E362" s="35"/>
      <c r="F362" s="40"/>
      <c r="G362" s="41"/>
      <c r="H362" s="41"/>
      <c r="I362" s="42"/>
      <c r="J362" s="41"/>
      <c r="K362" s="40"/>
      <c r="L362" s="28">
        <f t="shared" ca="1" si="42"/>
        <v>0</v>
      </c>
    </row>
    <row r="363" spans="2:12" x14ac:dyDescent="0.25">
      <c r="B363" s="38"/>
      <c r="C363" s="44"/>
      <c r="D363" s="35"/>
      <c r="E363" s="35"/>
      <c r="F363" s="40"/>
      <c r="G363" s="41"/>
      <c r="H363" s="41"/>
      <c r="I363" s="42"/>
      <c r="J363" s="41"/>
      <c r="K363" s="40"/>
      <c r="L363" s="28">
        <f t="shared" ref="L363:L370" ca="1" si="43">IF(ISERROR(OFFSET(L363,-1,0,1,1)+D363-E363),D363-E363,OFFSET(L363,-1,0,1,1)+D363-E363)</f>
        <v>0</v>
      </c>
    </row>
    <row r="364" spans="2:12" x14ac:dyDescent="0.25">
      <c r="B364" s="38"/>
      <c r="C364" s="44"/>
      <c r="D364" s="35"/>
      <c r="E364" s="35"/>
      <c r="F364" s="38"/>
      <c r="G364" s="41"/>
      <c r="H364" s="41"/>
      <c r="I364" s="42"/>
      <c r="J364" s="41"/>
      <c r="K364" s="40"/>
      <c r="L364" s="28">
        <f t="shared" ca="1" si="43"/>
        <v>0</v>
      </c>
    </row>
    <row r="365" spans="2:12" x14ac:dyDescent="0.25">
      <c r="B365" s="38"/>
      <c r="C365" s="44"/>
      <c r="D365" s="35"/>
      <c r="E365" s="35"/>
      <c r="F365" s="38"/>
      <c r="G365" s="41"/>
      <c r="H365" s="41"/>
      <c r="I365" s="42"/>
      <c r="J365" s="41"/>
      <c r="K365" s="40"/>
      <c r="L365" s="28">
        <f t="shared" ca="1" si="43"/>
        <v>0</v>
      </c>
    </row>
    <row r="366" spans="2:12" x14ac:dyDescent="0.25">
      <c r="B366" s="38"/>
      <c r="C366" s="44"/>
      <c r="D366" s="35"/>
      <c r="E366" s="35"/>
      <c r="F366" s="38"/>
      <c r="G366" s="41"/>
      <c r="H366" s="41"/>
      <c r="I366" s="42"/>
      <c r="J366" s="41"/>
      <c r="K366" s="40"/>
      <c r="L366" s="28">
        <f t="shared" ca="1" si="43"/>
        <v>0</v>
      </c>
    </row>
    <row r="367" spans="2:12" x14ac:dyDescent="0.25">
      <c r="B367" s="38"/>
      <c r="C367" s="44"/>
      <c r="D367" s="35"/>
      <c r="E367" s="35"/>
      <c r="F367" s="38"/>
      <c r="G367" s="41"/>
      <c r="H367" s="41"/>
      <c r="I367" s="42"/>
      <c r="J367" s="41"/>
      <c r="K367" s="40"/>
      <c r="L367" s="28">
        <f t="shared" ca="1" si="43"/>
        <v>0</v>
      </c>
    </row>
    <row r="368" spans="2:12" x14ac:dyDescent="0.25">
      <c r="B368" s="38"/>
      <c r="C368" s="44"/>
      <c r="D368" s="35"/>
      <c r="E368" s="35"/>
      <c r="F368" s="38"/>
      <c r="G368" s="41"/>
      <c r="H368" s="41"/>
      <c r="I368" s="42"/>
      <c r="J368" s="41"/>
      <c r="K368" s="40"/>
      <c r="L368" s="28">
        <f t="shared" ca="1" si="43"/>
        <v>0</v>
      </c>
    </row>
    <row r="369" spans="2:12" x14ac:dyDescent="0.25">
      <c r="B369" s="38"/>
      <c r="C369" s="44"/>
      <c r="D369" s="35"/>
      <c r="E369" s="35"/>
      <c r="F369" s="40"/>
      <c r="G369" s="41"/>
      <c r="H369" s="41"/>
      <c r="I369" s="42"/>
      <c r="J369" s="41"/>
      <c r="K369" s="40"/>
      <c r="L369" s="28">
        <f t="shared" ca="1" si="43"/>
        <v>0</v>
      </c>
    </row>
    <row r="370" spans="2:12" x14ac:dyDescent="0.25">
      <c r="B370" s="38"/>
      <c r="C370" s="44"/>
      <c r="D370" s="35"/>
      <c r="E370" s="35"/>
      <c r="F370" s="40"/>
      <c r="G370" s="41"/>
      <c r="H370" s="41"/>
      <c r="I370" s="42"/>
      <c r="J370" s="41"/>
      <c r="K370" s="40"/>
      <c r="L370" s="28">
        <f t="shared" ca="1" si="43"/>
        <v>0</v>
      </c>
    </row>
    <row r="371" spans="2:12" x14ac:dyDescent="0.25">
      <c r="B371" s="38"/>
      <c r="C371" s="44"/>
      <c r="D371" s="35"/>
      <c r="E371" s="35"/>
      <c r="F371" s="40"/>
      <c r="G371" s="41"/>
      <c r="H371" s="41"/>
      <c r="I371" s="42"/>
      <c r="J371" s="41"/>
      <c r="K371" s="40"/>
      <c r="L371" s="28">
        <f t="shared" ca="1" si="42"/>
        <v>0</v>
      </c>
    </row>
    <row r="372" spans="2:12" x14ac:dyDescent="0.25">
      <c r="B372" s="38"/>
      <c r="C372" s="44"/>
      <c r="D372" s="35"/>
      <c r="E372" s="35"/>
      <c r="F372" s="38"/>
      <c r="G372" s="41"/>
      <c r="H372" s="41"/>
      <c r="I372" s="42"/>
      <c r="J372" s="41"/>
      <c r="K372" s="40"/>
      <c r="L372" s="28">
        <f t="shared" ca="1" si="42"/>
        <v>0</v>
      </c>
    </row>
    <row r="373" spans="2:12" x14ac:dyDescent="0.25">
      <c r="B373" s="38"/>
      <c r="C373" s="44"/>
      <c r="D373" s="35"/>
      <c r="E373" s="35"/>
      <c r="F373" s="38"/>
      <c r="G373" s="41"/>
      <c r="H373" s="41"/>
      <c r="I373" s="42"/>
      <c r="J373" s="41"/>
      <c r="K373" s="40"/>
      <c r="L373" s="28">
        <f t="shared" ca="1" si="42"/>
        <v>0</v>
      </c>
    </row>
    <row r="374" spans="2:12" x14ac:dyDescent="0.25">
      <c r="B374" s="38"/>
      <c r="C374" s="44"/>
      <c r="D374" s="35"/>
      <c r="E374" s="35"/>
      <c r="F374" s="38"/>
      <c r="G374" s="41"/>
      <c r="H374" s="41"/>
      <c r="I374" s="42"/>
      <c r="J374" s="41"/>
      <c r="K374" s="40"/>
      <c r="L374" s="28">
        <f t="shared" ca="1" si="42"/>
        <v>0</v>
      </c>
    </row>
    <row r="375" spans="2:12" x14ac:dyDescent="0.25">
      <c r="B375" s="38"/>
      <c r="C375" s="44"/>
      <c r="D375" s="35"/>
      <c r="E375" s="35"/>
      <c r="F375" s="38"/>
      <c r="G375" s="41"/>
      <c r="H375" s="41"/>
      <c r="I375" s="42"/>
      <c r="J375" s="41"/>
      <c r="K375" s="40"/>
      <c r="L375" s="28">
        <f t="shared" ca="1" si="42"/>
        <v>0</v>
      </c>
    </row>
    <row r="376" spans="2:12" x14ac:dyDescent="0.25">
      <c r="B376" s="38"/>
      <c r="C376" s="39"/>
      <c r="D376" s="35"/>
      <c r="E376" s="35"/>
      <c r="F376" s="40"/>
      <c r="G376" s="41"/>
      <c r="H376" s="41"/>
      <c r="I376" s="42"/>
      <c r="J376" s="41"/>
      <c r="K376" s="40"/>
      <c r="L376" s="28">
        <f t="shared" ca="1" si="42"/>
        <v>0</v>
      </c>
    </row>
    <row r="377" spans="2:12" x14ac:dyDescent="0.25">
      <c r="B377" s="38"/>
      <c r="C377" s="39"/>
      <c r="D377" s="35"/>
      <c r="E377" s="35"/>
      <c r="F377" s="40"/>
      <c r="G377" s="41"/>
      <c r="H377" s="41"/>
      <c r="I377" s="42"/>
      <c r="J377" s="41"/>
      <c r="K377" s="40"/>
      <c r="L377" s="28">
        <f t="shared" ca="1" si="42"/>
        <v>0</v>
      </c>
    </row>
    <row r="378" spans="2:12" x14ac:dyDescent="0.25">
      <c r="B378" s="38"/>
      <c r="C378" s="39"/>
      <c r="D378" s="35"/>
      <c r="E378" s="35"/>
      <c r="F378" s="40"/>
      <c r="G378" s="41"/>
      <c r="H378" s="41"/>
      <c r="I378" s="42"/>
      <c r="J378" s="41"/>
      <c r="K378" s="40"/>
      <c r="L378" s="28">
        <f ca="1">IF(ISERROR(OFFSET(L378,-1,0,1,1)+D378-E378),D378-E378,OFFSET(L378,-1,0,1,1)+D378-E378)</f>
        <v>0</v>
      </c>
    </row>
    <row r="379" spans="2:12" x14ac:dyDescent="0.25">
      <c r="B379" s="38"/>
      <c r="C379" s="45"/>
      <c r="D379" s="35"/>
      <c r="E379" s="35"/>
      <c r="F379" s="38"/>
      <c r="G379" s="41"/>
      <c r="H379" s="41"/>
      <c r="I379" s="42"/>
      <c r="J379" s="41"/>
      <c r="K379" s="40"/>
      <c r="L379" s="28">
        <f t="shared" ca="1" si="42"/>
        <v>0</v>
      </c>
    </row>
    <row r="380" spans="2:12" x14ac:dyDescent="0.25">
      <c r="B380" s="47"/>
      <c r="C380" s="48"/>
      <c r="D380" s="52">
        <f>SUBTOTAL(109,JulEst_2024[INGRESO])</f>
        <v>0</v>
      </c>
      <c r="E380" s="52">
        <f>SUBTOTAL(109,JulEst_2024[EGRESO])</f>
        <v>0</v>
      </c>
      <c r="F380" s="49"/>
      <c r="G380" s="50"/>
      <c r="H380" s="50"/>
      <c r="I380" s="51"/>
      <c r="J380" s="50"/>
      <c r="K380" s="49"/>
      <c r="L380" s="53"/>
    </row>
    <row r="381" spans="2:12" ht="15.75" x14ac:dyDescent="0.25">
      <c r="B381"/>
      <c r="C381" s="34"/>
      <c r="D381" s="35"/>
      <c r="E381" s="35"/>
      <c r="F381"/>
      <c r="G381" s="32"/>
      <c r="H381" s="32"/>
      <c r="I381"/>
      <c r="J381" s="32"/>
      <c r="K381"/>
      <c r="L381"/>
    </row>
    <row r="382" spans="2:12" ht="15.75" x14ac:dyDescent="0.25">
      <c r="B382" s="76" t="s">
        <v>127</v>
      </c>
      <c r="C382" s="77"/>
      <c r="D382" s="77"/>
      <c r="E382" s="77"/>
      <c r="F382" s="77"/>
      <c r="G382" s="77"/>
      <c r="H382" s="77"/>
      <c r="I382" s="77"/>
      <c r="J382" s="77"/>
      <c r="K382" s="77"/>
      <c r="L382" s="77"/>
    </row>
    <row r="383" spans="2:12" x14ac:dyDescent="0.25">
      <c r="B383" s="36" t="s">
        <v>16</v>
      </c>
      <c r="C383" s="37" t="s">
        <v>17</v>
      </c>
      <c r="D383" s="46" t="s">
        <v>73</v>
      </c>
      <c r="E383" s="46" t="s">
        <v>74</v>
      </c>
      <c r="F383" s="37" t="s">
        <v>54</v>
      </c>
      <c r="G383" s="37" t="s">
        <v>76</v>
      </c>
      <c r="H383" s="37" t="s">
        <v>77</v>
      </c>
      <c r="I383" s="37" t="s">
        <v>75</v>
      </c>
      <c r="J383" s="37" t="s">
        <v>18</v>
      </c>
      <c r="K383" s="37" t="s">
        <v>64</v>
      </c>
      <c r="L383" s="37" t="s">
        <v>19</v>
      </c>
    </row>
    <row r="384" spans="2:12" x14ac:dyDescent="0.25">
      <c r="B384" s="38"/>
      <c r="C384" s="44"/>
      <c r="D384" s="35"/>
      <c r="E384" s="35"/>
      <c r="F384" s="38"/>
      <c r="G384" s="41"/>
      <c r="H384" s="41"/>
      <c r="I384" s="42"/>
      <c r="J384" s="41"/>
      <c r="K384" s="41"/>
      <c r="L384" s="28">
        <f t="shared" ref="L384:L429" ca="1" si="44">IF(ISERROR(OFFSET(L384,-1,0,1,1)+D384-E384),D384-E384,OFFSET(L384,-1,0,1,1)+D384-E384)</f>
        <v>0</v>
      </c>
    </row>
    <row r="385" spans="2:12" x14ac:dyDescent="0.25">
      <c r="B385" s="38"/>
      <c r="C385" s="44"/>
      <c r="D385" s="35"/>
      <c r="E385" s="35"/>
      <c r="F385" s="40"/>
      <c r="G385" s="41"/>
      <c r="H385" s="41"/>
      <c r="I385" s="42"/>
      <c r="J385" s="41"/>
      <c r="K385" s="40"/>
      <c r="L385" s="28">
        <f t="shared" ca="1" si="44"/>
        <v>0</v>
      </c>
    </row>
    <row r="386" spans="2:12" x14ac:dyDescent="0.25">
      <c r="B386" s="38"/>
      <c r="C386" s="44"/>
      <c r="D386" s="35"/>
      <c r="E386" s="35"/>
      <c r="F386" s="40"/>
      <c r="G386" s="41"/>
      <c r="H386" s="41"/>
      <c r="I386" s="42"/>
      <c r="J386" s="41"/>
      <c r="K386" s="40"/>
      <c r="L386" s="28">
        <f t="shared" ca="1" si="44"/>
        <v>0</v>
      </c>
    </row>
    <row r="387" spans="2:12" ht="12.6" customHeight="1" x14ac:dyDescent="0.25">
      <c r="B387" s="38"/>
      <c r="C387" s="44"/>
      <c r="D387" s="35"/>
      <c r="E387" s="35"/>
      <c r="F387" s="40"/>
      <c r="G387" s="41"/>
      <c r="H387" s="41"/>
      <c r="I387" s="42"/>
      <c r="J387" s="41"/>
      <c r="K387" s="40"/>
      <c r="L387" s="28">
        <f t="shared" ca="1" si="44"/>
        <v>0</v>
      </c>
    </row>
    <row r="388" spans="2:12" ht="12.6" customHeight="1" x14ac:dyDescent="0.25">
      <c r="B388" s="38"/>
      <c r="C388" s="44"/>
      <c r="D388" s="35"/>
      <c r="E388" s="35"/>
      <c r="F388" s="38"/>
      <c r="G388" s="41"/>
      <c r="H388" s="41"/>
      <c r="I388" s="42"/>
      <c r="J388" s="41"/>
      <c r="K388" s="40"/>
      <c r="L388" s="28">
        <f t="shared" ca="1" si="44"/>
        <v>0</v>
      </c>
    </row>
    <row r="389" spans="2:12" x14ac:dyDescent="0.25">
      <c r="B389" s="38"/>
      <c r="C389" s="44"/>
      <c r="D389" s="35"/>
      <c r="E389" s="35"/>
      <c r="F389" s="38"/>
      <c r="G389" s="41"/>
      <c r="H389" s="41"/>
      <c r="I389" s="42"/>
      <c r="J389" s="41"/>
      <c r="K389" s="40"/>
      <c r="L389" s="28">
        <f t="shared" ca="1" si="44"/>
        <v>0</v>
      </c>
    </row>
    <row r="390" spans="2:12" x14ac:dyDescent="0.25">
      <c r="B390" s="38"/>
      <c r="C390" s="44"/>
      <c r="D390" s="35"/>
      <c r="E390" s="35"/>
      <c r="F390" s="38"/>
      <c r="G390" s="41"/>
      <c r="H390" s="41"/>
      <c r="I390" s="42"/>
      <c r="J390" s="41"/>
      <c r="K390" s="40"/>
      <c r="L390" s="28">
        <f t="shared" ca="1" si="44"/>
        <v>0</v>
      </c>
    </row>
    <row r="391" spans="2:12" x14ac:dyDescent="0.25">
      <c r="B391" s="38"/>
      <c r="C391" s="44"/>
      <c r="D391" s="35"/>
      <c r="E391" s="35"/>
      <c r="F391" s="38"/>
      <c r="G391" s="41"/>
      <c r="H391" s="41"/>
      <c r="I391" s="42"/>
      <c r="J391" s="41"/>
      <c r="K391" s="40"/>
      <c r="L391" s="28">
        <f t="shared" ca="1" si="44"/>
        <v>0</v>
      </c>
    </row>
    <row r="392" spans="2:12" x14ac:dyDescent="0.25">
      <c r="B392" s="38"/>
      <c r="C392" s="44"/>
      <c r="D392" s="35"/>
      <c r="E392" s="35"/>
      <c r="F392" s="38"/>
      <c r="G392" s="41"/>
      <c r="H392" s="41"/>
      <c r="I392" s="42"/>
      <c r="J392" s="41"/>
      <c r="K392" s="40"/>
      <c r="L392" s="28">
        <f t="shared" ca="1" si="44"/>
        <v>0</v>
      </c>
    </row>
    <row r="393" spans="2:12" x14ac:dyDescent="0.25">
      <c r="B393" s="38"/>
      <c r="C393" s="44"/>
      <c r="D393" s="35"/>
      <c r="E393" s="35"/>
      <c r="F393" s="40"/>
      <c r="G393" s="41"/>
      <c r="H393" s="41"/>
      <c r="I393" s="42"/>
      <c r="J393" s="41"/>
      <c r="K393" s="40"/>
      <c r="L393" s="28">
        <f t="shared" ca="1" si="44"/>
        <v>0</v>
      </c>
    </row>
    <row r="394" spans="2:12" x14ac:dyDescent="0.25">
      <c r="B394" s="38"/>
      <c r="C394" s="44"/>
      <c r="D394" s="35"/>
      <c r="E394" s="35"/>
      <c r="F394" s="40"/>
      <c r="G394" s="41"/>
      <c r="H394" s="41"/>
      <c r="I394" s="42"/>
      <c r="J394" s="41"/>
      <c r="K394" s="40"/>
      <c r="L394" s="28">
        <f t="shared" ca="1" si="44"/>
        <v>0</v>
      </c>
    </row>
    <row r="395" spans="2:12" x14ac:dyDescent="0.25">
      <c r="B395" s="38"/>
      <c r="C395" s="44"/>
      <c r="D395" s="35"/>
      <c r="E395" s="35"/>
      <c r="F395" s="40"/>
      <c r="G395" s="41"/>
      <c r="H395" s="41"/>
      <c r="I395" s="42"/>
      <c r="J395" s="41"/>
      <c r="K395" s="40"/>
      <c r="L395" s="28">
        <f t="shared" ca="1" si="44"/>
        <v>0</v>
      </c>
    </row>
    <row r="396" spans="2:12" x14ac:dyDescent="0.25">
      <c r="B396" s="38"/>
      <c r="C396" s="44"/>
      <c r="D396" s="35"/>
      <c r="E396" s="35"/>
      <c r="F396" s="38"/>
      <c r="G396" s="41"/>
      <c r="H396" s="41"/>
      <c r="I396" s="42"/>
      <c r="J396" s="41"/>
      <c r="K396" s="40"/>
      <c r="L396" s="28">
        <f t="shared" ca="1" si="44"/>
        <v>0</v>
      </c>
    </row>
    <row r="397" spans="2:12" x14ac:dyDescent="0.25">
      <c r="B397" s="38"/>
      <c r="C397" s="44"/>
      <c r="D397" s="35"/>
      <c r="E397" s="35"/>
      <c r="F397" s="38"/>
      <c r="G397" s="41"/>
      <c r="H397" s="41"/>
      <c r="I397" s="42"/>
      <c r="J397" s="41"/>
      <c r="K397" s="40"/>
      <c r="L397" s="28">
        <f t="shared" ca="1" si="44"/>
        <v>0</v>
      </c>
    </row>
    <row r="398" spans="2:12" x14ac:dyDescent="0.25">
      <c r="B398" s="38"/>
      <c r="C398" s="44"/>
      <c r="D398" s="35"/>
      <c r="E398" s="35"/>
      <c r="F398" s="38"/>
      <c r="G398" s="41"/>
      <c r="H398" s="41"/>
      <c r="I398" s="42"/>
      <c r="J398" s="41"/>
      <c r="K398" s="40"/>
      <c r="L398" s="28">
        <f t="shared" ca="1" si="44"/>
        <v>0</v>
      </c>
    </row>
    <row r="399" spans="2:12" x14ac:dyDescent="0.25">
      <c r="B399" s="38"/>
      <c r="C399" s="44"/>
      <c r="D399" s="35"/>
      <c r="E399" s="35"/>
      <c r="F399" s="38"/>
      <c r="G399" s="41"/>
      <c r="H399" s="41"/>
      <c r="I399" s="42"/>
      <c r="J399" s="41"/>
      <c r="K399" s="40"/>
      <c r="L399" s="28">
        <f t="shared" ca="1" si="44"/>
        <v>0</v>
      </c>
    </row>
    <row r="400" spans="2:12" x14ac:dyDescent="0.25">
      <c r="B400" s="38"/>
      <c r="C400" s="39"/>
      <c r="D400" s="35"/>
      <c r="E400" s="35"/>
      <c r="F400" s="40"/>
      <c r="G400" s="41"/>
      <c r="H400" s="41"/>
      <c r="I400" s="42"/>
      <c r="J400" s="41"/>
      <c r="K400" s="40"/>
      <c r="L400" s="28">
        <f t="shared" ca="1" si="44"/>
        <v>0</v>
      </c>
    </row>
    <row r="401" spans="2:12" x14ac:dyDescent="0.25">
      <c r="B401" s="38"/>
      <c r="C401" s="39"/>
      <c r="D401" s="35"/>
      <c r="E401" s="35"/>
      <c r="F401" s="40"/>
      <c r="G401" s="41"/>
      <c r="H401" s="41"/>
      <c r="I401" s="42"/>
      <c r="J401" s="41"/>
      <c r="K401" s="40"/>
      <c r="L401" s="28">
        <f t="shared" ca="1" si="44"/>
        <v>0</v>
      </c>
    </row>
    <row r="402" spans="2:12" x14ac:dyDescent="0.25">
      <c r="B402" s="38"/>
      <c r="C402" s="39"/>
      <c r="D402" s="35"/>
      <c r="E402" s="35"/>
      <c r="F402" s="38"/>
      <c r="G402" s="41"/>
      <c r="H402" s="41"/>
      <c r="I402" s="42"/>
      <c r="J402" s="41"/>
      <c r="K402" s="40"/>
      <c r="L402" s="28">
        <f t="shared" ca="1" si="44"/>
        <v>0</v>
      </c>
    </row>
    <row r="403" spans="2:12" x14ac:dyDescent="0.25">
      <c r="B403" s="38"/>
      <c r="C403" s="39"/>
      <c r="D403" s="35"/>
      <c r="E403" s="35"/>
      <c r="F403" s="40"/>
      <c r="G403" s="41"/>
      <c r="H403" s="41"/>
      <c r="I403" s="42"/>
      <c r="J403" s="41"/>
      <c r="K403" s="40"/>
      <c r="L403" s="28">
        <f t="shared" ca="1" si="44"/>
        <v>0</v>
      </c>
    </row>
    <row r="404" spans="2:12" x14ac:dyDescent="0.25">
      <c r="B404" s="38"/>
      <c r="C404" s="39"/>
      <c r="D404" s="35"/>
      <c r="E404" s="35"/>
      <c r="F404" s="40"/>
      <c r="G404" s="41"/>
      <c r="H404" s="41"/>
      <c r="I404" s="42"/>
      <c r="J404" s="41"/>
      <c r="K404" s="40"/>
      <c r="L404" s="28">
        <f t="shared" ca="1" si="44"/>
        <v>0</v>
      </c>
    </row>
    <row r="405" spans="2:12" x14ac:dyDescent="0.25">
      <c r="B405" s="38"/>
      <c r="C405" s="39"/>
      <c r="D405" s="35"/>
      <c r="E405" s="35"/>
      <c r="F405" s="40"/>
      <c r="G405" s="41"/>
      <c r="H405" s="41"/>
      <c r="I405" s="42"/>
      <c r="J405" s="41"/>
      <c r="K405" s="40"/>
      <c r="L405" s="28">
        <f t="shared" ca="1" si="44"/>
        <v>0</v>
      </c>
    </row>
    <row r="406" spans="2:12" x14ac:dyDescent="0.25">
      <c r="B406" s="38"/>
      <c r="C406" s="39"/>
      <c r="D406" s="35"/>
      <c r="E406" s="35"/>
      <c r="F406" s="38"/>
      <c r="G406" s="41"/>
      <c r="H406" s="41"/>
      <c r="I406" s="42"/>
      <c r="J406" s="41"/>
      <c r="K406" s="40"/>
      <c r="L406" s="28">
        <f t="shared" ca="1" si="44"/>
        <v>0</v>
      </c>
    </row>
    <row r="407" spans="2:12" x14ac:dyDescent="0.25">
      <c r="B407" s="38"/>
      <c r="C407" s="39"/>
      <c r="D407" s="35"/>
      <c r="E407" s="35"/>
      <c r="F407" s="38"/>
      <c r="G407" s="41"/>
      <c r="H407" s="41"/>
      <c r="I407" s="42"/>
      <c r="J407" s="41"/>
      <c r="K407" s="40"/>
      <c r="L407" s="28">
        <f t="shared" ca="1" si="44"/>
        <v>0</v>
      </c>
    </row>
    <row r="408" spans="2:12" x14ac:dyDescent="0.25">
      <c r="B408" s="38"/>
      <c r="C408" s="39"/>
      <c r="D408" s="35"/>
      <c r="E408" s="35"/>
      <c r="F408" s="38"/>
      <c r="G408" s="41"/>
      <c r="H408" s="41"/>
      <c r="I408" s="42"/>
      <c r="J408" s="41"/>
      <c r="K408" s="40"/>
      <c r="L408" s="28">
        <f t="shared" ref="L408:L409" ca="1" si="45">IF(ISERROR(OFFSET(L408,-1,0,1,1)+D408-E408),D408-E408,OFFSET(L408,-1,0,1,1)+D408-E408)</f>
        <v>0</v>
      </c>
    </row>
    <row r="409" spans="2:12" x14ac:dyDescent="0.25">
      <c r="B409" s="38"/>
      <c r="C409" s="39"/>
      <c r="D409" s="35"/>
      <c r="E409" s="35"/>
      <c r="F409" s="38"/>
      <c r="G409" s="41"/>
      <c r="H409" s="41"/>
      <c r="I409" s="42"/>
      <c r="J409" s="41"/>
      <c r="K409" s="40"/>
      <c r="L409" s="28">
        <f t="shared" ca="1" si="45"/>
        <v>0</v>
      </c>
    </row>
    <row r="410" spans="2:12" x14ac:dyDescent="0.25">
      <c r="B410" s="38"/>
      <c r="C410" s="39"/>
      <c r="D410" s="35"/>
      <c r="E410" s="35"/>
      <c r="F410" s="38"/>
      <c r="G410" s="41"/>
      <c r="H410" s="41"/>
      <c r="I410" s="42"/>
      <c r="J410" s="41"/>
      <c r="K410" s="40"/>
      <c r="L410" s="28">
        <f t="shared" ref="L410:L418" ca="1" si="46">IF(ISERROR(OFFSET(L410,-1,0,1,1)+D410-E410),D410-E410,OFFSET(L410,-1,0,1,1)+D410-E410)</f>
        <v>0</v>
      </c>
    </row>
    <row r="411" spans="2:12" x14ac:dyDescent="0.25">
      <c r="B411" s="38"/>
      <c r="C411" s="39"/>
      <c r="D411" s="35"/>
      <c r="E411" s="35"/>
      <c r="F411" s="40"/>
      <c r="G411" s="41"/>
      <c r="H411" s="41"/>
      <c r="I411" s="42"/>
      <c r="J411" s="41"/>
      <c r="K411" s="40"/>
      <c r="L411" s="28">
        <f t="shared" ca="1" si="46"/>
        <v>0</v>
      </c>
    </row>
    <row r="412" spans="2:12" x14ac:dyDescent="0.25">
      <c r="B412" s="38"/>
      <c r="C412" s="39"/>
      <c r="D412" s="35"/>
      <c r="E412" s="35"/>
      <c r="F412" s="40"/>
      <c r="G412" s="41"/>
      <c r="H412" s="41"/>
      <c r="I412" s="42"/>
      <c r="J412" s="41"/>
      <c r="K412" s="40"/>
      <c r="L412" s="28">
        <f t="shared" ca="1" si="46"/>
        <v>0</v>
      </c>
    </row>
    <row r="413" spans="2:12" x14ac:dyDescent="0.25">
      <c r="B413" s="38"/>
      <c r="C413" s="39"/>
      <c r="D413" s="35"/>
      <c r="E413" s="35"/>
      <c r="F413" s="40"/>
      <c r="G413" s="41"/>
      <c r="H413" s="41"/>
      <c r="I413" s="42"/>
      <c r="J413" s="41"/>
      <c r="K413" s="40"/>
      <c r="L413" s="28">
        <f t="shared" ca="1" si="46"/>
        <v>0</v>
      </c>
    </row>
    <row r="414" spans="2:12" x14ac:dyDescent="0.25">
      <c r="B414" s="38"/>
      <c r="C414" s="39"/>
      <c r="D414" s="35"/>
      <c r="E414" s="35"/>
      <c r="F414" s="38"/>
      <c r="G414" s="41"/>
      <c r="H414" s="41"/>
      <c r="I414" s="42"/>
      <c r="J414" s="41"/>
      <c r="K414" s="40"/>
      <c r="L414" s="28">
        <f t="shared" ca="1" si="46"/>
        <v>0</v>
      </c>
    </row>
    <row r="415" spans="2:12" x14ac:dyDescent="0.25">
      <c r="B415" s="38"/>
      <c r="C415" s="39"/>
      <c r="D415" s="35"/>
      <c r="E415" s="35"/>
      <c r="F415" s="38"/>
      <c r="G415" s="41"/>
      <c r="H415" s="41"/>
      <c r="I415" s="42"/>
      <c r="J415" s="41"/>
      <c r="K415" s="40"/>
      <c r="L415" s="28">
        <f t="shared" ca="1" si="46"/>
        <v>0</v>
      </c>
    </row>
    <row r="416" spans="2:12" x14ac:dyDescent="0.25">
      <c r="B416" s="38"/>
      <c r="C416" s="39"/>
      <c r="D416" s="35"/>
      <c r="E416" s="35"/>
      <c r="F416" s="38"/>
      <c r="G416" s="41"/>
      <c r="H416" s="41"/>
      <c r="I416" s="42"/>
      <c r="J416" s="41"/>
      <c r="K416" s="40"/>
      <c r="L416" s="28">
        <f t="shared" ca="1" si="46"/>
        <v>0</v>
      </c>
    </row>
    <row r="417" spans="2:12" x14ac:dyDescent="0.25">
      <c r="B417" s="38"/>
      <c r="C417" s="39"/>
      <c r="D417" s="35"/>
      <c r="E417" s="35"/>
      <c r="F417" s="38"/>
      <c r="G417" s="41"/>
      <c r="H417" s="41"/>
      <c r="I417" s="42"/>
      <c r="J417" s="41"/>
      <c r="K417" s="40"/>
      <c r="L417" s="28">
        <f t="shared" ca="1" si="46"/>
        <v>0</v>
      </c>
    </row>
    <row r="418" spans="2:12" x14ac:dyDescent="0.25">
      <c r="B418" s="38"/>
      <c r="C418" s="39"/>
      <c r="D418" s="35"/>
      <c r="E418" s="35"/>
      <c r="F418" s="38"/>
      <c r="G418" s="41"/>
      <c r="H418" s="41"/>
      <c r="I418" s="42"/>
      <c r="J418" s="41"/>
      <c r="K418" s="40"/>
      <c r="L418" s="28">
        <f t="shared" ca="1" si="46"/>
        <v>0</v>
      </c>
    </row>
    <row r="419" spans="2:12" x14ac:dyDescent="0.25">
      <c r="B419" s="38"/>
      <c r="C419" s="39"/>
      <c r="D419" s="35"/>
      <c r="E419" s="35"/>
      <c r="F419" s="40"/>
      <c r="G419" s="41"/>
      <c r="H419" s="41"/>
      <c r="I419" s="42"/>
      <c r="J419" s="41"/>
      <c r="K419" s="40"/>
      <c r="L419" s="28">
        <f t="shared" ref="L419:L421" ca="1" si="47">IF(ISERROR(OFFSET(L419,-1,0,1,1)+D419-E419),D419-E419,OFFSET(L419,-1,0,1,1)+D419-E419)</f>
        <v>0</v>
      </c>
    </row>
    <row r="420" spans="2:12" x14ac:dyDescent="0.25">
      <c r="B420" s="38"/>
      <c r="C420" s="39"/>
      <c r="D420" s="35"/>
      <c r="E420" s="35"/>
      <c r="F420" s="40"/>
      <c r="G420" s="41"/>
      <c r="H420" s="41"/>
      <c r="I420" s="42"/>
      <c r="J420" s="41"/>
      <c r="K420" s="40"/>
      <c r="L420" s="28">
        <f t="shared" ca="1" si="47"/>
        <v>0</v>
      </c>
    </row>
    <row r="421" spans="2:12" x14ac:dyDescent="0.25">
      <c r="B421" s="38"/>
      <c r="C421" s="39"/>
      <c r="D421" s="35"/>
      <c r="E421" s="35"/>
      <c r="F421" s="40"/>
      <c r="G421" s="41"/>
      <c r="H421" s="41"/>
      <c r="I421" s="42"/>
      <c r="J421" s="41"/>
      <c r="K421" s="40"/>
      <c r="L421" s="28">
        <f t="shared" ca="1" si="47"/>
        <v>0</v>
      </c>
    </row>
    <row r="422" spans="2:12" x14ac:dyDescent="0.25">
      <c r="B422" s="38"/>
      <c r="C422" s="39"/>
      <c r="D422" s="35"/>
      <c r="E422" s="35"/>
      <c r="F422" s="38"/>
      <c r="G422" s="41"/>
      <c r="H422" s="41"/>
      <c r="I422" s="42"/>
      <c r="J422" s="41"/>
      <c r="K422" s="40"/>
      <c r="L422" s="28">
        <f t="shared" ref="L422:L423" ca="1" si="48">IF(ISERROR(OFFSET(L422,-1,0,1,1)+D422-E422),D422-E422,OFFSET(L422,-1,0,1,1)+D422-E422)</f>
        <v>0</v>
      </c>
    </row>
    <row r="423" spans="2:12" x14ac:dyDescent="0.25">
      <c r="B423" s="38"/>
      <c r="C423" s="39"/>
      <c r="D423" s="35"/>
      <c r="E423" s="35"/>
      <c r="F423" s="38"/>
      <c r="G423" s="41"/>
      <c r="H423" s="41"/>
      <c r="I423" s="42"/>
      <c r="J423" s="41"/>
      <c r="K423" s="40"/>
      <c r="L423" s="28">
        <f t="shared" ca="1" si="48"/>
        <v>0</v>
      </c>
    </row>
    <row r="424" spans="2:12" x14ac:dyDescent="0.25">
      <c r="B424" s="38"/>
      <c r="C424" s="39"/>
      <c r="D424" s="35"/>
      <c r="E424" s="35"/>
      <c r="F424" s="38"/>
      <c r="G424" s="41"/>
      <c r="H424" s="41"/>
      <c r="I424" s="42"/>
      <c r="J424" s="41"/>
      <c r="K424" s="40"/>
      <c r="L424" s="28">
        <f ca="1">IF(ISERROR(OFFSET(L424,-1,0,1,1)+D424-E424),D424-E424,OFFSET(L424,-1,0,1,1)+D424-E424)</f>
        <v>0</v>
      </c>
    </row>
    <row r="425" spans="2:12" x14ac:dyDescent="0.25">
      <c r="B425" s="38"/>
      <c r="C425" s="39"/>
      <c r="D425" s="35"/>
      <c r="E425" s="35"/>
      <c r="F425" s="38"/>
      <c r="G425" s="41"/>
      <c r="H425" s="41"/>
      <c r="I425" s="42"/>
      <c r="J425" s="41"/>
      <c r="K425" s="40"/>
      <c r="L425" s="28">
        <f ca="1">IF(ISERROR(OFFSET(L425,-1,0,1,1)+D425-E425),D425-E425,OFFSET(L425,-1,0,1,1)+D425-E425)</f>
        <v>0</v>
      </c>
    </row>
    <row r="426" spans="2:12" x14ac:dyDescent="0.25">
      <c r="B426" s="38"/>
      <c r="C426" s="39"/>
      <c r="D426" s="35"/>
      <c r="E426" s="35"/>
      <c r="F426" s="40"/>
      <c r="G426" s="41"/>
      <c r="H426" s="41"/>
      <c r="I426" s="42"/>
      <c r="J426" s="41"/>
      <c r="K426" s="40"/>
      <c r="L426" s="28">
        <f t="shared" ca="1" si="44"/>
        <v>0</v>
      </c>
    </row>
    <row r="427" spans="2:12" x14ac:dyDescent="0.25">
      <c r="B427" s="38"/>
      <c r="C427" s="39"/>
      <c r="D427" s="35"/>
      <c r="E427" s="35"/>
      <c r="F427" s="40"/>
      <c r="G427" s="41"/>
      <c r="H427" s="41"/>
      <c r="I427" s="42"/>
      <c r="J427" s="41"/>
      <c r="K427" s="40"/>
      <c r="L427" s="28">
        <f t="shared" ca="1" si="44"/>
        <v>0</v>
      </c>
    </row>
    <row r="428" spans="2:12" x14ac:dyDescent="0.25">
      <c r="B428" s="38"/>
      <c r="C428" s="39"/>
      <c r="D428" s="35"/>
      <c r="E428" s="35"/>
      <c r="F428" s="40"/>
      <c r="G428" s="41"/>
      <c r="H428" s="41"/>
      <c r="I428" s="42"/>
      <c r="J428" s="41"/>
      <c r="K428" s="40"/>
      <c r="L428" s="28">
        <f t="shared" ca="1" si="44"/>
        <v>0</v>
      </c>
    </row>
    <row r="429" spans="2:12" x14ac:dyDescent="0.25">
      <c r="B429" s="38"/>
      <c r="C429" s="45"/>
      <c r="D429" s="35"/>
      <c r="E429" s="35"/>
      <c r="F429" s="38"/>
      <c r="G429" s="41"/>
      <c r="H429" s="41"/>
      <c r="I429" s="42"/>
      <c r="J429" s="41"/>
      <c r="K429" s="40"/>
      <c r="L429" s="28">
        <f t="shared" ca="1" si="44"/>
        <v>0</v>
      </c>
    </row>
    <row r="430" spans="2:12" x14ac:dyDescent="0.25">
      <c r="B430" s="47"/>
      <c r="C430" s="48"/>
      <c r="D430" s="52">
        <f>SUBTOTAL(109,AgoEst_2024[INGRESO])</f>
        <v>0</v>
      </c>
      <c r="E430" s="52">
        <f>SUBTOTAL(109,AgoEst_2024[EGRESO])</f>
        <v>0</v>
      </c>
      <c r="F430" s="49"/>
      <c r="G430" s="50"/>
      <c r="H430" s="50"/>
      <c r="I430" s="51"/>
      <c r="J430" s="50"/>
      <c r="K430" s="49"/>
      <c r="L430" s="53"/>
    </row>
    <row r="431" spans="2:12" ht="15.75" x14ac:dyDescent="0.25">
      <c r="B431"/>
      <c r="C431" s="34"/>
      <c r="D431" s="35"/>
      <c r="E431" s="35"/>
      <c r="F431"/>
      <c r="G431" s="32"/>
      <c r="H431" s="32"/>
      <c r="I431"/>
      <c r="J431" s="32"/>
      <c r="K431"/>
      <c r="L431"/>
    </row>
    <row r="432" spans="2:12" ht="15.75" x14ac:dyDescent="0.25">
      <c r="B432" s="76" t="s">
        <v>128</v>
      </c>
      <c r="C432" s="77"/>
      <c r="D432" s="77"/>
      <c r="E432" s="77"/>
      <c r="F432" s="77"/>
      <c r="G432" s="77"/>
      <c r="H432" s="77"/>
      <c r="I432" s="77"/>
      <c r="J432" s="77"/>
      <c r="K432" s="77"/>
      <c r="L432" s="77"/>
    </row>
    <row r="433" spans="2:12" x14ac:dyDescent="0.25">
      <c r="B433" s="36" t="s">
        <v>16</v>
      </c>
      <c r="C433" s="37" t="s">
        <v>17</v>
      </c>
      <c r="D433" s="46" t="s">
        <v>73</v>
      </c>
      <c r="E433" s="46" t="s">
        <v>74</v>
      </c>
      <c r="F433" s="37" t="s">
        <v>54</v>
      </c>
      <c r="G433" s="37" t="s">
        <v>76</v>
      </c>
      <c r="H433" s="37" t="s">
        <v>77</v>
      </c>
      <c r="I433" s="37" t="s">
        <v>75</v>
      </c>
      <c r="J433" s="37" t="s">
        <v>18</v>
      </c>
      <c r="K433" s="37" t="s">
        <v>64</v>
      </c>
      <c r="L433" s="37" t="s">
        <v>19</v>
      </c>
    </row>
    <row r="434" spans="2:12" x14ac:dyDescent="0.25">
      <c r="B434" s="38"/>
      <c r="C434" s="44"/>
      <c r="D434" s="35"/>
      <c r="E434" s="35"/>
      <c r="F434" s="38"/>
      <c r="G434" s="41"/>
      <c r="H434" s="41"/>
      <c r="I434" s="42"/>
      <c r="J434" s="41"/>
      <c r="K434" s="41"/>
      <c r="L434" s="28">
        <f t="shared" ref="L434:L472" ca="1" si="49">IF(ISERROR(OFFSET(L434,-1,0,1,1)+D434-E434),D434-E434,OFFSET(L434,-1,0,1,1)+D434-E434)</f>
        <v>0</v>
      </c>
    </row>
    <row r="435" spans="2:12" x14ac:dyDescent="0.25">
      <c r="B435" s="38"/>
      <c r="C435" s="44"/>
      <c r="D435" s="35"/>
      <c r="E435" s="35"/>
      <c r="F435" s="40"/>
      <c r="G435" s="41"/>
      <c r="H435" s="41"/>
      <c r="I435" s="42"/>
      <c r="J435" s="41"/>
      <c r="K435" s="40"/>
      <c r="L435" s="28">
        <f t="shared" ca="1" si="49"/>
        <v>0</v>
      </c>
    </row>
    <row r="436" spans="2:12" x14ac:dyDescent="0.25">
      <c r="B436" s="38"/>
      <c r="C436" s="44"/>
      <c r="D436" s="35"/>
      <c r="E436" s="35"/>
      <c r="F436" s="40"/>
      <c r="G436" s="41"/>
      <c r="H436" s="41"/>
      <c r="I436" s="42"/>
      <c r="J436" s="41"/>
      <c r="K436" s="40"/>
      <c r="L436" s="28">
        <f t="shared" ca="1" si="49"/>
        <v>0</v>
      </c>
    </row>
    <row r="437" spans="2:12" ht="12.6" customHeight="1" x14ac:dyDescent="0.25">
      <c r="B437" s="38"/>
      <c r="C437" s="44"/>
      <c r="D437" s="35"/>
      <c r="E437" s="35"/>
      <c r="F437" s="40"/>
      <c r="G437" s="41"/>
      <c r="H437" s="41"/>
      <c r="I437" s="42"/>
      <c r="J437" s="41"/>
      <c r="K437" s="40"/>
      <c r="L437" s="28">
        <f t="shared" ca="1" si="49"/>
        <v>0</v>
      </c>
    </row>
    <row r="438" spans="2:12" ht="12.6" customHeight="1" x14ac:dyDescent="0.25">
      <c r="B438" s="38"/>
      <c r="C438" s="44"/>
      <c r="D438" s="35"/>
      <c r="E438" s="35"/>
      <c r="F438" s="38"/>
      <c r="G438" s="41"/>
      <c r="H438" s="41"/>
      <c r="I438" s="42"/>
      <c r="J438" s="41"/>
      <c r="K438" s="40"/>
      <c r="L438" s="28">
        <f t="shared" ca="1" si="49"/>
        <v>0</v>
      </c>
    </row>
    <row r="439" spans="2:12" x14ac:dyDescent="0.25">
      <c r="B439" s="38"/>
      <c r="C439" s="44"/>
      <c r="D439" s="35"/>
      <c r="E439" s="35"/>
      <c r="F439" s="38"/>
      <c r="G439" s="41"/>
      <c r="H439" s="41"/>
      <c r="I439" s="42"/>
      <c r="J439" s="41"/>
      <c r="K439" s="40"/>
      <c r="L439" s="28">
        <f t="shared" ca="1" si="49"/>
        <v>0</v>
      </c>
    </row>
    <row r="440" spans="2:12" x14ac:dyDescent="0.25">
      <c r="B440" s="38"/>
      <c r="C440" s="44"/>
      <c r="D440" s="35"/>
      <c r="E440" s="35"/>
      <c r="F440" s="38"/>
      <c r="G440" s="41"/>
      <c r="H440" s="41"/>
      <c r="I440" s="42"/>
      <c r="J440" s="41"/>
      <c r="K440" s="40"/>
      <c r="L440" s="28">
        <f t="shared" ca="1" si="49"/>
        <v>0</v>
      </c>
    </row>
    <row r="441" spans="2:12" x14ac:dyDescent="0.25">
      <c r="B441" s="38"/>
      <c r="C441" s="44"/>
      <c r="D441" s="35"/>
      <c r="E441" s="35"/>
      <c r="F441" s="38"/>
      <c r="G441" s="41"/>
      <c r="H441" s="41"/>
      <c r="I441" s="42"/>
      <c r="J441" s="41"/>
      <c r="K441" s="40"/>
      <c r="L441" s="28">
        <f t="shared" ca="1" si="49"/>
        <v>0</v>
      </c>
    </row>
    <row r="442" spans="2:12" x14ac:dyDescent="0.25">
      <c r="B442" s="38"/>
      <c r="C442" s="44"/>
      <c r="D442" s="35"/>
      <c r="E442" s="35"/>
      <c r="F442" s="38"/>
      <c r="G442" s="41"/>
      <c r="H442" s="41"/>
      <c r="I442" s="42"/>
      <c r="J442" s="41"/>
      <c r="K442" s="40"/>
      <c r="L442" s="28">
        <f t="shared" ca="1" si="49"/>
        <v>0</v>
      </c>
    </row>
    <row r="443" spans="2:12" x14ac:dyDescent="0.25">
      <c r="B443" s="38"/>
      <c r="C443" s="44"/>
      <c r="D443" s="35"/>
      <c r="E443" s="35"/>
      <c r="F443" s="40"/>
      <c r="G443" s="41"/>
      <c r="H443" s="41"/>
      <c r="I443" s="42"/>
      <c r="J443" s="41"/>
      <c r="K443" s="40"/>
      <c r="L443" s="28">
        <f t="shared" ca="1" si="49"/>
        <v>0</v>
      </c>
    </row>
    <row r="444" spans="2:12" x14ac:dyDescent="0.25">
      <c r="B444" s="38"/>
      <c r="C444" s="44"/>
      <c r="D444" s="35"/>
      <c r="E444" s="35"/>
      <c r="F444" s="40"/>
      <c r="G444" s="41"/>
      <c r="H444" s="41"/>
      <c r="I444" s="42"/>
      <c r="J444" s="41"/>
      <c r="K444" s="40"/>
      <c r="L444" s="28">
        <f t="shared" ca="1" si="49"/>
        <v>0</v>
      </c>
    </row>
    <row r="445" spans="2:12" x14ac:dyDescent="0.25">
      <c r="B445" s="38"/>
      <c r="C445" s="44"/>
      <c r="D445" s="35"/>
      <c r="E445" s="35"/>
      <c r="F445" s="40"/>
      <c r="G445" s="41"/>
      <c r="H445" s="41"/>
      <c r="I445" s="42"/>
      <c r="J445" s="41"/>
      <c r="K445" s="40"/>
      <c r="L445" s="28">
        <f t="shared" ca="1" si="49"/>
        <v>0</v>
      </c>
    </row>
    <row r="446" spans="2:12" x14ac:dyDescent="0.25">
      <c r="B446" s="38"/>
      <c r="C446" s="44"/>
      <c r="D446" s="35"/>
      <c r="E446" s="35"/>
      <c r="F446" s="38"/>
      <c r="G446" s="41"/>
      <c r="H446" s="41"/>
      <c r="I446" s="42"/>
      <c r="J446" s="41"/>
      <c r="K446" s="40"/>
      <c r="L446" s="28">
        <f t="shared" ca="1" si="49"/>
        <v>0</v>
      </c>
    </row>
    <row r="447" spans="2:12" x14ac:dyDescent="0.25">
      <c r="B447" s="38"/>
      <c r="C447" s="44"/>
      <c r="D447" s="35"/>
      <c r="E447" s="35"/>
      <c r="F447" s="38"/>
      <c r="G447" s="41"/>
      <c r="H447" s="41"/>
      <c r="I447" s="42"/>
      <c r="J447" s="41"/>
      <c r="K447" s="40"/>
      <c r="L447" s="28">
        <f t="shared" ca="1" si="49"/>
        <v>0</v>
      </c>
    </row>
    <row r="448" spans="2:12" x14ac:dyDescent="0.25">
      <c r="B448" s="38"/>
      <c r="C448" s="44"/>
      <c r="D448" s="35"/>
      <c r="E448" s="35"/>
      <c r="F448" s="38"/>
      <c r="G448" s="41"/>
      <c r="H448" s="41"/>
      <c r="I448" s="42"/>
      <c r="J448" s="41"/>
      <c r="K448" s="40"/>
      <c r="L448" s="28">
        <f t="shared" ca="1" si="49"/>
        <v>0</v>
      </c>
    </row>
    <row r="449" spans="2:12" x14ac:dyDescent="0.25">
      <c r="B449" s="38"/>
      <c r="C449" s="44"/>
      <c r="D449" s="35"/>
      <c r="E449" s="35"/>
      <c r="F449" s="38"/>
      <c r="G449" s="41"/>
      <c r="H449" s="41"/>
      <c r="I449" s="42"/>
      <c r="J449" s="41"/>
      <c r="K449" s="40"/>
      <c r="L449" s="28">
        <f t="shared" ca="1" si="49"/>
        <v>0</v>
      </c>
    </row>
    <row r="450" spans="2:12" x14ac:dyDescent="0.25">
      <c r="B450" s="38"/>
      <c r="C450" s="44"/>
      <c r="D450" s="35"/>
      <c r="E450" s="35"/>
      <c r="F450" s="40"/>
      <c r="G450" s="41"/>
      <c r="H450" s="41"/>
      <c r="I450" s="42"/>
      <c r="J450" s="41"/>
      <c r="K450" s="40"/>
      <c r="L450" s="28">
        <f t="shared" ca="1" si="49"/>
        <v>0</v>
      </c>
    </row>
    <row r="451" spans="2:12" x14ac:dyDescent="0.25">
      <c r="B451" s="38"/>
      <c r="C451" s="44"/>
      <c r="D451" s="35"/>
      <c r="E451" s="35"/>
      <c r="F451" s="40"/>
      <c r="G451" s="41"/>
      <c r="H451" s="41"/>
      <c r="I451" s="42"/>
      <c r="J451" s="41"/>
      <c r="K451" s="40"/>
      <c r="L451" s="28">
        <f t="shared" ca="1" si="49"/>
        <v>0</v>
      </c>
    </row>
    <row r="452" spans="2:12" x14ac:dyDescent="0.25">
      <c r="B452" s="38"/>
      <c r="C452" s="44"/>
      <c r="D452" s="35"/>
      <c r="E452" s="35"/>
      <c r="F452" s="38"/>
      <c r="G452" s="41"/>
      <c r="H452" s="41"/>
      <c r="I452" s="42"/>
      <c r="J452" s="41"/>
      <c r="K452" s="40"/>
      <c r="L452" s="28">
        <f t="shared" ca="1" si="49"/>
        <v>0</v>
      </c>
    </row>
    <row r="453" spans="2:12" x14ac:dyDescent="0.25">
      <c r="B453" s="38"/>
      <c r="C453" s="44"/>
      <c r="D453" s="35"/>
      <c r="E453" s="35"/>
      <c r="F453" s="40"/>
      <c r="G453" s="41"/>
      <c r="H453" s="41"/>
      <c r="I453" s="42"/>
      <c r="J453" s="41"/>
      <c r="K453" s="40"/>
      <c r="L453" s="28">
        <f t="shared" ca="1" si="49"/>
        <v>0</v>
      </c>
    </row>
    <row r="454" spans="2:12" x14ac:dyDescent="0.25">
      <c r="B454" s="38"/>
      <c r="C454" s="44"/>
      <c r="D454" s="35"/>
      <c r="E454" s="35"/>
      <c r="F454" s="40"/>
      <c r="G454" s="41"/>
      <c r="H454" s="41"/>
      <c r="I454" s="42"/>
      <c r="J454" s="41"/>
      <c r="K454" s="40"/>
      <c r="L454" s="28">
        <f t="shared" ca="1" si="49"/>
        <v>0</v>
      </c>
    </row>
    <row r="455" spans="2:12" x14ac:dyDescent="0.25">
      <c r="B455" s="38"/>
      <c r="C455" s="44"/>
      <c r="D455" s="35"/>
      <c r="E455" s="35"/>
      <c r="F455" s="40"/>
      <c r="G455" s="41"/>
      <c r="H455" s="41"/>
      <c r="I455" s="42"/>
      <c r="J455" s="41"/>
      <c r="K455" s="40"/>
      <c r="L455" s="28">
        <f t="shared" ref="L455:L462" ca="1" si="50">IF(ISERROR(OFFSET(L455,-1,0,1,1)+D455-E455),D455-E455,OFFSET(L455,-1,0,1,1)+D455-E455)</f>
        <v>0</v>
      </c>
    </row>
    <row r="456" spans="2:12" x14ac:dyDescent="0.25">
      <c r="B456" s="38"/>
      <c r="C456" s="44"/>
      <c r="D456" s="35"/>
      <c r="E456" s="35"/>
      <c r="F456" s="38"/>
      <c r="G456" s="41"/>
      <c r="H456" s="41"/>
      <c r="I456" s="42"/>
      <c r="J456" s="41"/>
      <c r="K456" s="40"/>
      <c r="L456" s="28">
        <f t="shared" ca="1" si="50"/>
        <v>0</v>
      </c>
    </row>
    <row r="457" spans="2:12" x14ac:dyDescent="0.25">
      <c r="B457" s="38"/>
      <c r="C457" s="44"/>
      <c r="D457" s="35"/>
      <c r="E457" s="35"/>
      <c r="F457" s="38"/>
      <c r="G457" s="41"/>
      <c r="H457" s="41"/>
      <c r="I457" s="42"/>
      <c r="J457" s="41"/>
      <c r="K457" s="40"/>
      <c r="L457" s="28">
        <f t="shared" ca="1" si="50"/>
        <v>0</v>
      </c>
    </row>
    <row r="458" spans="2:12" x14ac:dyDescent="0.25">
      <c r="B458" s="38"/>
      <c r="C458" s="44"/>
      <c r="D458" s="35"/>
      <c r="E458" s="35"/>
      <c r="F458" s="38"/>
      <c r="G458" s="41"/>
      <c r="H458" s="41"/>
      <c r="I458" s="42"/>
      <c r="J458" s="41"/>
      <c r="K458" s="40"/>
      <c r="L458" s="28">
        <f t="shared" ca="1" si="50"/>
        <v>0</v>
      </c>
    </row>
    <row r="459" spans="2:12" x14ac:dyDescent="0.25">
      <c r="B459" s="38"/>
      <c r="C459" s="44"/>
      <c r="D459" s="35"/>
      <c r="E459" s="35"/>
      <c r="F459" s="38"/>
      <c r="G459" s="41"/>
      <c r="H459" s="41"/>
      <c r="I459" s="42"/>
      <c r="J459" s="41"/>
      <c r="K459" s="40"/>
      <c r="L459" s="28">
        <f t="shared" ca="1" si="50"/>
        <v>0</v>
      </c>
    </row>
    <row r="460" spans="2:12" x14ac:dyDescent="0.25">
      <c r="B460" s="38"/>
      <c r="C460" s="44"/>
      <c r="D460" s="35"/>
      <c r="E460" s="35"/>
      <c r="F460" s="38"/>
      <c r="G460" s="41"/>
      <c r="H460" s="41"/>
      <c r="I460" s="42"/>
      <c r="J460" s="41"/>
      <c r="K460" s="40"/>
      <c r="L460" s="28">
        <f t="shared" ca="1" si="50"/>
        <v>0</v>
      </c>
    </row>
    <row r="461" spans="2:12" x14ac:dyDescent="0.25">
      <c r="B461" s="38"/>
      <c r="C461" s="44"/>
      <c r="D461" s="35"/>
      <c r="E461" s="35"/>
      <c r="F461" s="40"/>
      <c r="G461" s="41"/>
      <c r="H461" s="41"/>
      <c r="I461" s="42"/>
      <c r="J461" s="41"/>
      <c r="K461" s="40"/>
      <c r="L461" s="28">
        <f t="shared" ca="1" si="50"/>
        <v>0</v>
      </c>
    </row>
    <row r="462" spans="2:12" x14ac:dyDescent="0.25">
      <c r="B462" s="38"/>
      <c r="C462" s="44"/>
      <c r="D462" s="35"/>
      <c r="E462" s="35"/>
      <c r="F462" s="40"/>
      <c r="G462" s="41"/>
      <c r="H462" s="41"/>
      <c r="I462" s="42"/>
      <c r="J462" s="41"/>
      <c r="K462" s="40"/>
      <c r="L462" s="28">
        <f t="shared" ca="1" si="50"/>
        <v>0</v>
      </c>
    </row>
    <row r="463" spans="2:12" x14ac:dyDescent="0.25">
      <c r="B463" s="38"/>
      <c r="C463" s="44"/>
      <c r="D463" s="35"/>
      <c r="E463" s="35"/>
      <c r="F463" s="40"/>
      <c r="G463" s="41"/>
      <c r="H463" s="41"/>
      <c r="I463" s="42"/>
      <c r="J463" s="41"/>
      <c r="K463" s="40"/>
      <c r="L463" s="28">
        <f t="shared" ref="L463:L467" ca="1" si="51">IF(ISERROR(OFFSET(L463,-1,0,1,1)+D463-E463),D463-E463,OFFSET(L463,-1,0,1,1)+D463-E463)</f>
        <v>0</v>
      </c>
    </row>
    <row r="464" spans="2:12" x14ac:dyDescent="0.25">
      <c r="B464" s="38"/>
      <c r="C464" s="44"/>
      <c r="D464" s="35"/>
      <c r="E464" s="35"/>
      <c r="F464" s="38"/>
      <c r="G464" s="41"/>
      <c r="H464" s="41"/>
      <c r="I464" s="42"/>
      <c r="J464" s="41"/>
      <c r="K464" s="40"/>
      <c r="L464" s="28">
        <f t="shared" ca="1" si="51"/>
        <v>0</v>
      </c>
    </row>
    <row r="465" spans="2:12" x14ac:dyDescent="0.25">
      <c r="B465" s="38"/>
      <c r="C465" s="44"/>
      <c r="D465" s="35"/>
      <c r="E465" s="35"/>
      <c r="F465" s="38"/>
      <c r="G465" s="41"/>
      <c r="H465" s="41"/>
      <c r="I465" s="42"/>
      <c r="J465" s="41"/>
      <c r="K465" s="40"/>
      <c r="L465" s="28">
        <f t="shared" ca="1" si="51"/>
        <v>0</v>
      </c>
    </row>
    <row r="466" spans="2:12" x14ac:dyDescent="0.25">
      <c r="B466" s="38"/>
      <c r="C466" s="44"/>
      <c r="D466" s="35"/>
      <c r="E466" s="35"/>
      <c r="F466" s="38"/>
      <c r="G466" s="41"/>
      <c r="H466" s="41"/>
      <c r="I466" s="42"/>
      <c r="J466" s="41"/>
      <c r="K466" s="40"/>
      <c r="L466" s="28">
        <f t="shared" ca="1" si="51"/>
        <v>0</v>
      </c>
    </row>
    <row r="467" spans="2:12" x14ac:dyDescent="0.25">
      <c r="B467" s="38"/>
      <c r="C467" s="44"/>
      <c r="D467" s="35"/>
      <c r="E467" s="35"/>
      <c r="F467" s="38"/>
      <c r="G467" s="41"/>
      <c r="H467" s="41"/>
      <c r="I467" s="42"/>
      <c r="J467" s="41"/>
      <c r="K467" s="40"/>
      <c r="L467" s="28">
        <f t="shared" ca="1" si="51"/>
        <v>0</v>
      </c>
    </row>
    <row r="468" spans="2:12" x14ac:dyDescent="0.25">
      <c r="B468" s="38"/>
      <c r="C468" s="44"/>
      <c r="D468" s="35"/>
      <c r="E468" s="35"/>
      <c r="F468" s="40"/>
      <c r="G468" s="41"/>
      <c r="H468" s="41"/>
      <c r="I468" s="42"/>
      <c r="J468" s="41"/>
      <c r="K468" s="40"/>
      <c r="L468" s="28">
        <f t="shared" ca="1" si="49"/>
        <v>0</v>
      </c>
    </row>
    <row r="469" spans="2:12" x14ac:dyDescent="0.25">
      <c r="B469" s="38"/>
      <c r="C469" s="44"/>
      <c r="D469" s="35"/>
      <c r="E469" s="35"/>
      <c r="F469" s="40"/>
      <c r="G469" s="41"/>
      <c r="H469" s="41"/>
      <c r="I469" s="42"/>
      <c r="J469" s="41"/>
      <c r="K469" s="40"/>
      <c r="L469" s="28">
        <f ca="1">IF(ISERROR(OFFSET(L469,-1,0,1,1)+D469-E469),D469-E469,OFFSET(L469,-1,0,1,1)+D469-E469)</f>
        <v>0</v>
      </c>
    </row>
    <row r="470" spans="2:12" x14ac:dyDescent="0.25">
      <c r="B470" s="38"/>
      <c r="C470" s="44"/>
      <c r="D470" s="35"/>
      <c r="E470" s="35"/>
      <c r="F470" s="40"/>
      <c r="G470" s="41"/>
      <c r="H470" s="41"/>
      <c r="I470" s="42"/>
      <c r="J470" s="41"/>
      <c r="K470" s="40"/>
      <c r="L470" s="28">
        <f t="shared" ca="1" si="49"/>
        <v>0</v>
      </c>
    </row>
    <row r="471" spans="2:12" x14ac:dyDescent="0.25">
      <c r="B471" s="38"/>
      <c r="C471" s="44"/>
      <c r="D471" s="35"/>
      <c r="E471" s="35"/>
      <c r="F471" s="40"/>
      <c r="G471" s="41"/>
      <c r="H471" s="41"/>
      <c r="I471" s="42"/>
      <c r="J471" s="41"/>
      <c r="K471" s="40"/>
      <c r="L471" s="28">
        <f ca="1">IF(ISERROR(OFFSET(L471,-1,0,1,1)+D471-E471),D471-E471,OFFSET(L471,-1,0,1,1)+D471-E471)</f>
        <v>0</v>
      </c>
    </row>
    <row r="472" spans="2:12" x14ac:dyDescent="0.25">
      <c r="B472" s="38"/>
      <c r="C472" s="39"/>
      <c r="D472" s="35"/>
      <c r="E472" s="35"/>
      <c r="F472" s="40"/>
      <c r="G472" s="41"/>
      <c r="H472" s="41"/>
      <c r="I472" s="42"/>
      <c r="J472" s="41"/>
      <c r="K472" s="40"/>
      <c r="L472" s="28">
        <f t="shared" ca="1" si="49"/>
        <v>0</v>
      </c>
    </row>
    <row r="473" spans="2:12" x14ac:dyDescent="0.25">
      <c r="B473" s="38"/>
      <c r="C473" s="39"/>
      <c r="D473" s="35"/>
      <c r="E473" s="35"/>
      <c r="F473" s="40"/>
      <c r="G473" s="41"/>
      <c r="H473" s="41"/>
      <c r="I473" s="42"/>
      <c r="J473" s="41"/>
      <c r="K473" s="40"/>
      <c r="L473" s="28">
        <f ca="1">IF(ISERROR(OFFSET(L473,-1,0,1,1)+D473-E473),D473-E473,OFFSET(L473,-1,0,1,1)+D473-E473)</f>
        <v>0</v>
      </c>
    </row>
    <row r="474" spans="2:12" x14ac:dyDescent="0.25">
      <c r="B474" s="47"/>
      <c r="C474" s="48"/>
      <c r="D474" s="52">
        <f>SUBTOTAL(109,SepEst_2024[INGRESO])</f>
        <v>0</v>
      </c>
      <c r="E474" s="52">
        <f>SUBTOTAL(109,SepEst_2024[EGRESO])</f>
        <v>0</v>
      </c>
      <c r="F474" s="49"/>
      <c r="G474" s="50"/>
      <c r="H474" s="50"/>
      <c r="I474" s="51"/>
      <c r="J474" s="50"/>
      <c r="K474" s="49"/>
      <c r="L474" s="53"/>
    </row>
    <row r="475" spans="2:12" ht="15.75" x14ac:dyDescent="0.25">
      <c r="B475"/>
      <c r="C475" s="34"/>
      <c r="D475" s="35"/>
      <c r="E475" s="35"/>
      <c r="F475"/>
      <c r="G475" s="32"/>
      <c r="H475" s="32"/>
      <c r="I475"/>
      <c r="J475" s="32"/>
      <c r="K475"/>
      <c r="L475"/>
    </row>
    <row r="476" spans="2:12" ht="15.75" x14ac:dyDescent="0.25">
      <c r="B476" s="76" t="s">
        <v>129</v>
      </c>
      <c r="C476" s="77"/>
      <c r="D476" s="77"/>
      <c r="E476" s="77"/>
      <c r="F476" s="77"/>
      <c r="G476" s="77"/>
      <c r="H476" s="77"/>
      <c r="I476" s="77"/>
      <c r="J476" s="77"/>
      <c r="K476" s="77"/>
      <c r="L476" s="77"/>
    </row>
    <row r="477" spans="2:12" x14ac:dyDescent="0.25">
      <c r="B477" s="36" t="s">
        <v>16</v>
      </c>
      <c r="C477" s="37" t="s">
        <v>17</v>
      </c>
      <c r="D477" s="46" t="s">
        <v>73</v>
      </c>
      <c r="E477" s="46" t="s">
        <v>74</v>
      </c>
      <c r="F477" s="37" t="s">
        <v>54</v>
      </c>
      <c r="G477" s="37" t="s">
        <v>76</v>
      </c>
      <c r="H477" s="37" t="s">
        <v>77</v>
      </c>
      <c r="I477" s="37" t="s">
        <v>75</v>
      </c>
      <c r="J477" s="37" t="s">
        <v>18</v>
      </c>
      <c r="K477" s="37" t="s">
        <v>64</v>
      </c>
      <c r="L477" s="37" t="s">
        <v>19</v>
      </c>
    </row>
    <row r="478" spans="2:12" x14ac:dyDescent="0.25">
      <c r="B478" s="38"/>
      <c r="C478" s="44"/>
      <c r="D478" s="35"/>
      <c r="E478" s="35"/>
      <c r="F478" s="38"/>
      <c r="G478" s="41"/>
      <c r="H478" s="41"/>
      <c r="I478" s="42"/>
      <c r="J478" s="41"/>
      <c r="K478" s="41"/>
      <c r="L478" s="28">
        <f t="shared" ref="L478:L515" ca="1" si="52">IF(ISERROR(OFFSET(L478,-1,0,1,1)+D478-E478),D478-E478,OFFSET(L478,-1,0,1,1)+D478-E478)</f>
        <v>0</v>
      </c>
    </row>
    <row r="479" spans="2:12" x14ac:dyDescent="0.25">
      <c r="B479" s="38"/>
      <c r="C479" s="44"/>
      <c r="D479" s="35"/>
      <c r="E479" s="35"/>
      <c r="F479" s="40"/>
      <c r="G479" s="41"/>
      <c r="H479" s="41"/>
      <c r="I479" s="42"/>
      <c r="J479" s="41"/>
      <c r="K479" s="40"/>
      <c r="L479" s="28">
        <f t="shared" ca="1" si="52"/>
        <v>0</v>
      </c>
    </row>
    <row r="480" spans="2:12" x14ac:dyDescent="0.25">
      <c r="B480" s="38"/>
      <c r="C480" s="44"/>
      <c r="D480" s="35"/>
      <c r="E480" s="35"/>
      <c r="F480" s="40"/>
      <c r="G480" s="41"/>
      <c r="H480" s="41"/>
      <c r="I480" s="42"/>
      <c r="J480" s="41"/>
      <c r="K480" s="40"/>
      <c r="L480" s="28">
        <f t="shared" ca="1" si="52"/>
        <v>0</v>
      </c>
    </row>
    <row r="481" spans="2:12" ht="12.6" customHeight="1" x14ac:dyDescent="0.25">
      <c r="B481" s="38"/>
      <c r="C481" s="44"/>
      <c r="D481" s="35"/>
      <c r="E481" s="35"/>
      <c r="F481" s="40"/>
      <c r="G481" s="41"/>
      <c r="H481" s="41"/>
      <c r="I481" s="42"/>
      <c r="J481" s="41"/>
      <c r="K481" s="40"/>
      <c r="L481" s="28">
        <f t="shared" ca="1" si="52"/>
        <v>0</v>
      </c>
    </row>
    <row r="482" spans="2:12" ht="12.6" customHeight="1" x14ac:dyDescent="0.25">
      <c r="B482" s="38"/>
      <c r="C482" s="44"/>
      <c r="D482" s="35"/>
      <c r="E482" s="35"/>
      <c r="F482" s="38"/>
      <c r="G482" s="41"/>
      <c r="H482" s="41"/>
      <c r="I482" s="42"/>
      <c r="J482" s="41"/>
      <c r="K482" s="40"/>
      <c r="L482" s="28">
        <f t="shared" ca="1" si="52"/>
        <v>0</v>
      </c>
    </row>
    <row r="483" spans="2:12" x14ac:dyDescent="0.25">
      <c r="B483" s="38"/>
      <c r="C483" s="44"/>
      <c r="D483" s="35"/>
      <c r="E483" s="35"/>
      <c r="F483" s="38"/>
      <c r="G483" s="41"/>
      <c r="H483" s="41"/>
      <c r="I483" s="42"/>
      <c r="J483" s="41"/>
      <c r="K483" s="40"/>
      <c r="L483" s="28">
        <f t="shared" ca="1" si="52"/>
        <v>0</v>
      </c>
    </row>
    <row r="484" spans="2:12" x14ac:dyDescent="0.25">
      <c r="B484" s="38"/>
      <c r="C484" s="44"/>
      <c r="D484" s="35"/>
      <c r="E484" s="35"/>
      <c r="F484" s="38"/>
      <c r="G484" s="41"/>
      <c r="H484" s="41"/>
      <c r="I484" s="42"/>
      <c r="J484" s="41"/>
      <c r="K484" s="40"/>
      <c r="L484" s="28">
        <f t="shared" ca="1" si="52"/>
        <v>0</v>
      </c>
    </row>
    <row r="485" spans="2:12" x14ac:dyDescent="0.25">
      <c r="B485" s="38"/>
      <c r="C485" s="44"/>
      <c r="D485" s="35"/>
      <c r="E485" s="35"/>
      <c r="F485" s="38"/>
      <c r="G485" s="41"/>
      <c r="H485" s="41"/>
      <c r="I485" s="42"/>
      <c r="J485" s="41"/>
      <c r="K485" s="40"/>
      <c r="L485" s="28">
        <f t="shared" ca="1" si="52"/>
        <v>0</v>
      </c>
    </row>
    <row r="486" spans="2:12" x14ac:dyDescent="0.25">
      <c r="B486" s="38"/>
      <c r="C486" s="44"/>
      <c r="D486" s="35"/>
      <c r="E486" s="35"/>
      <c r="F486" s="38"/>
      <c r="G486" s="41"/>
      <c r="H486" s="41"/>
      <c r="I486" s="42"/>
      <c r="J486" s="41"/>
      <c r="K486" s="40"/>
      <c r="L486" s="28">
        <f t="shared" ca="1" si="52"/>
        <v>0</v>
      </c>
    </row>
    <row r="487" spans="2:12" x14ac:dyDescent="0.25">
      <c r="B487" s="38"/>
      <c r="C487" s="44"/>
      <c r="D487" s="35"/>
      <c r="E487" s="35"/>
      <c r="F487" s="40"/>
      <c r="G487" s="41"/>
      <c r="H487" s="41"/>
      <c r="I487" s="42"/>
      <c r="J487" s="41"/>
      <c r="K487" s="40"/>
      <c r="L487" s="28">
        <f t="shared" ca="1" si="52"/>
        <v>0</v>
      </c>
    </row>
    <row r="488" spans="2:12" x14ac:dyDescent="0.25">
      <c r="B488" s="38"/>
      <c r="C488" s="44"/>
      <c r="D488" s="35"/>
      <c r="E488" s="35"/>
      <c r="F488" s="40"/>
      <c r="G488" s="41"/>
      <c r="H488" s="41"/>
      <c r="I488" s="42"/>
      <c r="J488" s="41"/>
      <c r="K488" s="40"/>
      <c r="L488" s="28">
        <f t="shared" ca="1" si="52"/>
        <v>0</v>
      </c>
    </row>
    <row r="489" spans="2:12" x14ac:dyDescent="0.25">
      <c r="B489" s="38"/>
      <c r="C489" s="44"/>
      <c r="D489" s="35"/>
      <c r="E489" s="35"/>
      <c r="F489" s="40"/>
      <c r="G489" s="41"/>
      <c r="H489" s="41"/>
      <c r="I489" s="42"/>
      <c r="J489" s="41"/>
      <c r="K489" s="40"/>
      <c r="L489" s="28">
        <f t="shared" ca="1" si="52"/>
        <v>0</v>
      </c>
    </row>
    <row r="490" spans="2:12" x14ac:dyDescent="0.25">
      <c r="B490" s="38"/>
      <c r="C490" s="44"/>
      <c r="D490" s="35"/>
      <c r="E490" s="35"/>
      <c r="F490" s="38"/>
      <c r="G490" s="41"/>
      <c r="H490" s="41"/>
      <c r="I490" s="42"/>
      <c r="J490" s="41"/>
      <c r="K490" s="40"/>
      <c r="L490" s="28">
        <f t="shared" ca="1" si="52"/>
        <v>0</v>
      </c>
    </row>
    <row r="491" spans="2:12" x14ac:dyDescent="0.25">
      <c r="B491" s="38"/>
      <c r="C491" s="44"/>
      <c r="D491" s="35"/>
      <c r="E491" s="35"/>
      <c r="F491" s="38"/>
      <c r="G491" s="41"/>
      <c r="H491" s="41"/>
      <c r="I491" s="42"/>
      <c r="J491" s="41"/>
      <c r="K491" s="40"/>
      <c r="L491" s="28">
        <f t="shared" ca="1" si="52"/>
        <v>0</v>
      </c>
    </row>
    <row r="492" spans="2:12" x14ac:dyDescent="0.25">
      <c r="B492" s="38"/>
      <c r="C492" s="44"/>
      <c r="D492" s="35"/>
      <c r="E492" s="35"/>
      <c r="F492" s="38"/>
      <c r="G492" s="41"/>
      <c r="H492" s="41"/>
      <c r="I492" s="42"/>
      <c r="J492" s="41"/>
      <c r="K492" s="40"/>
      <c r="L492" s="28">
        <f t="shared" ca="1" si="52"/>
        <v>0</v>
      </c>
    </row>
    <row r="493" spans="2:12" x14ac:dyDescent="0.25">
      <c r="B493" s="38"/>
      <c r="C493" s="44"/>
      <c r="D493" s="35"/>
      <c r="E493" s="35"/>
      <c r="F493" s="38"/>
      <c r="G493" s="41"/>
      <c r="H493" s="41"/>
      <c r="I493" s="42"/>
      <c r="J493" s="41"/>
      <c r="K493" s="40"/>
      <c r="L493" s="28">
        <f t="shared" ca="1" si="52"/>
        <v>0</v>
      </c>
    </row>
    <row r="494" spans="2:12" x14ac:dyDescent="0.25">
      <c r="B494" s="38"/>
      <c r="C494" s="44"/>
      <c r="D494" s="35"/>
      <c r="E494" s="35"/>
      <c r="F494" s="40"/>
      <c r="G494" s="41"/>
      <c r="H494" s="41"/>
      <c r="I494" s="42"/>
      <c r="J494" s="41"/>
      <c r="K494" s="40"/>
      <c r="L494" s="28">
        <f t="shared" ca="1" si="52"/>
        <v>0</v>
      </c>
    </row>
    <row r="495" spans="2:12" x14ac:dyDescent="0.25">
      <c r="B495" s="38"/>
      <c r="C495" s="44"/>
      <c r="D495" s="35"/>
      <c r="E495" s="35"/>
      <c r="F495" s="40"/>
      <c r="G495" s="41"/>
      <c r="H495" s="41"/>
      <c r="I495" s="42"/>
      <c r="J495" s="41"/>
      <c r="K495" s="40"/>
      <c r="L495" s="28">
        <f t="shared" ca="1" si="52"/>
        <v>0</v>
      </c>
    </row>
    <row r="496" spans="2:12" x14ac:dyDescent="0.25">
      <c r="B496" s="38"/>
      <c r="C496" s="44"/>
      <c r="D496" s="35"/>
      <c r="E496" s="35"/>
      <c r="F496" s="38"/>
      <c r="G496" s="41"/>
      <c r="H496" s="41"/>
      <c r="I496" s="42"/>
      <c r="J496" s="41"/>
      <c r="K496" s="40"/>
      <c r="L496" s="28">
        <f t="shared" ca="1" si="52"/>
        <v>0</v>
      </c>
    </row>
    <row r="497" spans="2:12" x14ac:dyDescent="0.25">
      <c r="B497" s="38"/>
      <c r="C497" s="44"/>
      <c r="D497" s="35"/>
      <c r="E497" s="35"/>
      <c r="F497" s="40"/>
      <c r="G497" s="41"/>
      <c r="H497" s="41"/>
      <c r="I497" s="42"/>
      <c r="J497" s="41"/>
      <c r="K497" s="40"/>
      <c r="L497" s="28">
        <f t="shared" ca="1" si="52"/>
        <v>0</v>
      </c>
    </row>
    <row r="498" spans="2:12" x14ac:dyDescent="0.25">
      <c r="B498" s="38"/>
      <c r="C498" s="44"/>
      <c r="D498" s="35"/>
      <c r="E498" s="35"/>
      <c r="F498" s="40"/>
      <c r="G498" s="41"/>
      <c r="H498" s="41"/>
      <c r="I498" s="42"/>
      <c r="J498" s="41"/>
      <c r="K498" s="40"/>
      <c r="L498" s="28">
        <f t="shared" ca="1" si="52"/>
        <v>0</v>
      </c>
    </row>
    <row r="499" spans="2:12" x14ac:dyDescent="0.25">
      <c r="B499" s="38"/>
      <c r="C499" s="44"/>
      <c r="D499" s="35"/>
      <c r="E499" s="35"/>
      <c r="F499" s="40"/>
      <c r="G499" s="41"/>
      <c r="H499" s="41"/>
      <c r="I499" s="42"/>
      <c r="J499" s="41"/>
      <c r="K499" s="40"/>
      <c r="L499" s="28">
        <f t="shared" ref="L499:L506" ca="1" si="53">IF(ISERROR(OFFSET(L499,-1,0,1,1)+D499-E499),D499-E499,OFFSET(L499,-1,0,1,1)+D499-E499)</f>
        <v>0</v>
      </c>
    </row>
    <row r="500" spans="2:12" x14ac:dyDescent="0.25">
      <c r="B500" s="38"/>
      <c r="C500" s="44"/>
      <c r="D500" s="35"/>
      <c r="E500" s="35"/>
      <c r="F500" s="38"/>
      <c r="G500" s="41"/>
      <c r="H500" s="41"/>
      <c r="I500" s="42"/>
      <c r="J500" s="41"/>
      <c r="K500" s="40"/>
      <c r="L500" s="28">
        <f t="shared" ca="1" si="53"/>
        <v>0</v>
      </c>
    </row>
    <row r="501" spans="2:12" x14ac:dyDescent="0.25">
      <c r="B501" s="38"/>
      <c r="C501" s="44"/>
      <c r="D501" s="35"/>
      <c r="E501" s="35"/>
      <c r="F501" s="38"/>
      <c r="G501" s="41"/>
      <c r="H501" s="41"/>
      <c r="I501" s="42"/>
      <c r="J501" s="41"/>
      <c r="K501" s="40"/>
      <c r="L501" s="28">
        <f t="shared" ca="1" si="53"/>
        <v>0</v>
      </c>
    </row>
    <row r="502" spans="2:12" x14ac:dyDescent="0.25">
      <c r="B502" s="38"/>
      <c r="C502" s="44"/>
      <c r="D502" s="35"/>
      <c r="E502" s="35"/>
      <c r="F502" s="38"/>
      <c r="G502" s="41"/>
      <c r="H502" s="41"/>
      <c r="I502" s="42"/>
      <c r="J502" s="41"/>
      <c r="K502" s="40"/>
      <c r="L502" s="28">
        <f t="shared" ca="1" si="53"/>
        <v>0</v>
      </c>
    </row>
    <row r="503" spans="2:12" x14ac:dyDescent="0.25">
      <c r="B503" s="38"/>
      <c r="C503" s="44"/>
      <c r="D503" s="35"/>
      <c r="E503" s="35"/>
      <c r="F503" s="38"/>
      <c r="G503" s="41"/>
      <c r="H503" s="41"/>
      <c r="I503" s="42"/>
      <c r="J503" s="41"/>
      <c r="K503" s="40"/>
      <c r="L503" s="28">
        <f t="shared" ca="1" si="53"/>
        <v>0</v>
      </c>
    </row>
    <row r="504" spans="2:12" x14ac:dyDescent="0.25">
      <c r="B504" s="38"/>
      <c r="C504" s="44"/>
      <c r="D504" s="35"/>
      <c r="E504" s="35"/>
      <c r="F504" s="38"/>
      <c r="G504" s="41"/>
      <c r="H504" s="41"/>
      <c r="I504" s="42"/>
      <c r="J504" s="41"/>
      <c r="K504" s="40"/>
      <c r="L504" s="28">
        <f t="shared" ca="1" si="53"/>
        <v>0</v>
      </c>
    </row>
    <row r="505" spans="2:12" x14ac:dyDescent="0.25">
      <c r="B505" s="38"/>
      <c r="C505" s="44"/>
      <c r="D505" s="35"/>
      <c r="E505" s="35"/>
      <c r="F505" s="40"/>
      <c r="G505" s="41"/>
      <c r="H505" s="41"/>
      <c r="I505" s="42"/>
      <c r="J505" s="41"/>
      <c r="K505" s="40"/>
      <c r="L505" s="28">
        <f t="shared" ca="1" si="53"/>
        <v>0</v>
      </c>
    </row>
    <row r="506" spans="2:12" x14ac:dyDescent="0.25">
      <c r="B506" s="38"/>
      <c r="C506" s="44"/>
      <c r="D506" s="35"/>
      <c r="E506" s="35"/>
      <c r="F506" s="40"/>
      <c r="G506" s="41"/>
      <c r="H506" s="41"/>
      <c r="I506" s="42"/>
      <c r="J506" s="41"/>
      <c r="K506" s="40"/>
      <c r="L506" s="28">
        <f t="shared" ca="1" si="53"/>
        <v>0</v>
      </c>
    </row>
    <row r="507" spans="2:12" x14ac:dyDescent="0.25">
      <c r="B507" s="38"/>
      <c r="C507" s="44"/>
      <c r="D507" s="35"/>
      <c r="E507" s="35"/>
      <c r="F507" s="40"/>
      <c r="G507" s="41"/>
      <c r="H507" s="41"/>
      <c r="I507" s="42"/>
      <c r="J507" s="41"/>
      <c r="K507" s="40"/>
      <c r="L507" s="28">
        <f t="shared" ref="L507:L514" ca="1" si="54">IF(ISERROR(OFFSET(L507,-1,0,1,1)+D507-E507),D507-E507,OFFSET(L507,-1,0,1,1)+D507-E507)</f>
        <v>0</v>
      </c>
    </row>
    <row r="508" spans="2:12" x14ac:dyDescent="0.25">
      <c r="B508" s="38"/>
      <c r="C508" s="44"/>
      <c r="D508" s="35"/>
      <c r="E508" s="35"/>
      <c r="F508" s="38"/>
      <c r="G508" s="41"/>
      <c r="H508" s="41"/>
      <c r="I508" s="42"/>
      <c r="J508" s="41"/>
      <c r="K508" s="40"/>
      <c r="L508" s="28">
        <f t="shared" ca="1" si="54"/>
        <v>0</v>
      </c>
    </row>
    <row r="509" spans="2:12" x14ac:dyDescent="0.25">
      <c r="B509" s="38"/>
      <c r="C509" s="44"/>
      <c r="D509" s="35"/>
      <c r="E509" s="35"/>
      <c r="F509" s="38"/>
      <c r="G509" s="41"/>
      <c r="H509" s="41"/>
      <c r="I509" s="42"/>
      <c r="J509" s="41"/>
      <c r="K509" s="40"/>
      <c r="L509" s="28">
        <f t="shared" ca="1" si="54"/>
        <v>0</v>
      </c>
    </row>
    <row r="510" spans="2:12" x14ac:dyDescent="0.25">
      <c r="B510" s="38"/>
      <c r="C510" s="44"/>
      <c r="D510" s="35"/>
      <c r="E510" s="35"/>
      <c r="F510" s="38"/>
      <c r="G510" s="41"/>
      <c r="H510" s="41"/>
      <c r="I510" s="42"/>
      <c r="J510" s="41"/>
      <c r="K510" s="40"/>
      <c r="L510" s="28">
        <f t="shared" ca="1" si="54"/>
        <v>0</v>
      </c>
    </row>
    <row r="511" spans="2:12" x14ac:dyDescent="0.25">
      <c r="B511" s="38"/>
      <c r="C511" s="44"/>
      <c r="D511" s="35"/>
      <c r="E511" s="35"/>
      <c r="F511" s="38"/>
      <c r="G511" s="41"/>
      <c r="H511" s="41"/>
      <c r="I511" s="42"/>
      <c r="J511" s="41"/>
      <c r="K511" s="40"/>
      <c r="L511" s="28">
        <f t="shared" ca="1" si="54"/>
        <v>0</v>
      </c>
    </row>
    <row r="512" spans="2:12" x14ac:dyDescent="0.25">
      <c r="B512" s="38"/>
      <c r="C512" s="44"/>
      <c r="D512" s="35"/>
      <c r="E512" s="35"/>
      <c r="F512" s="40"/>
      <c r="G512" s="41"/>
      <c r="H512" s="41"/>
      <c r="I512" s="42"/>
      <c r="J512" s="41"/>
      <c r="K512" s="40"/>
      <c r="L512" s="28">
        <f t="shared" ca="1" si="54"/>
        <v>0</v>
      </c>
    </row>
    <row r="513" spans="2:12" x14ac:dyDescent="0.25">
      <c r="B513" s="38"/>
      <c r="C513" s="44"/>
      <c r="D513" s="35"/>
      <c r="E513" s="35"/>
      <c r="F513" s="40"/>
      <c r="G513" s="41"/>
      <c r="H513" s="41"/>
      <c r="I513" s="42"/>
      <c r="J513" s="41"/>
      <c r="K513" s="40"/>
      <c r="L513" s="28">
        <f t="shared" ca="1" si="54"/>
        <v>0</v>
      </c>
    </row>
    <row r="514" spans="2:12" x14ac:dyDescent="0.25">
      <c r="B514" s="38"/>
      <c r="C514" s="39"/>
      <c r="D514" s="35"/>
      <c r="E514" s="35"/>
      <c r="F514" s="40"/>
      <c r="G514" s="41"/>
      <c r="H514" s="41"/>
      <c r="I514" s="42"/>
      <c r="J514" s="41"/>
      <c r="K514" s="40"/>
      <c r="L514" s="28">
        <f t="shared" ca="1" si="54"/>
        <v>0</v>
      </c>
    </row>
    <row r="515" spans="2:12" x14ac:dyDescent="0.25">
      <c r="B515" s="38"/>
      <c r="C515" s="45"/>
      <c r="D515" s="35"/>
      <c r="E515" s="35"/>
      <c r="F515" s="38"/>
      <c r="G515" s="41"/>
      <c r="H515" s="41"/>
      <c r="I515" s="42"/>
      <c r="J515" s="41"/>
      <c r="K515" s="40"/>
      <c r="L515" s="28">
        <f t="shared" ca="1" si="52"/>
        <v>0</v>
      </c>
    </row>
    <row r="516" spans="2:12" x14ac:dyDescent="0.25">
      <c r="B516" s="47"/>
      <c r="C516" s="48"/>
      <c r="D516" s="52">
        <f>SUBTOTAL(109,OctEst_2024[INGRESO])</f>
        <v>0</v>
      </c>
      <c r="E516" s="52">
        <f>SUBTOTAL(109,OctEst_2024[EGRESO])</f>
        <v>0</v>
      </c>
      <c r="F516" s="49"/>
      <c r="G516" s="50"/>
      <c r="H516" s="50"/>
      <c r="I516" s="51"/>
      <c r="J516" s="50"/>
      <c r="K516" s="49"/>
      <c r="L516" s="53"/>
    </row>
    <row r="517" spans="2:12" ht="15.75" x14ac:dyDescent="0.25">
      <c r="B517"/>
      <c r="C517" s="34"/>
      <c r="D517" s="35"/>
      <c r="E517" s="35"/>
      <c r="F517"/>
      <c r="G517" s="32"/>
      <c r="H517" s="32"/>
      <c r="I517"/>
      <c r="J517" s="32"/>
      <c r="K517"/>
      <c r="L517"/>
    </row>
    <row r="518" spans="2:12" ht="15.75" x14ac:dyDescent="0.25">
      <c r="B518" s="76" t="s">
        <v>130</v>
      </c>
      <c r="C518" s="77"/>
      <c r="D518" s="77"/>
      <c r="E518" s="77"/>
      <c r="F518" s="77"/>
      <c r="G518" s="77"/>
      <c r="H518" s="77"/>
      <c r="I518" s="77"/>
      <c r="J518" s="77"/>
      <c r="K518" s="77"/>
      <c r="L518" s="77"/>
    </row>
    <row r="519" spans="2:12" x14ac:dyDescent="0.25">
      <c r="B519" s="36" t="s">
        <v>16</v>
      </c>
      <c r="C519" s="37" t="s">
        <v>17</v>
      </c>
      <c r="D519" s="46" t="s">
        <v>73</v>
      </c>
      <c r="E519" s="46" t="s">
        <v>74</v>
      </c>
      <c r="F519" s="37" t="s">
        <v>54</v>
      </c>
      <c r="G519" s="37" t="s">
        <v>76</v>
      </c>
      <c r="H519" s="37" t="s">
        <v>77</v>
      </c>
      <c r="I519" s="37" t="s">
        <v>75</v>
      </c>
      <c r="J519" s="37" t="s">
        <v>18</v>
      </c>
      <c r="K519" s="37" t="s">
        <v>64</v>
      </c>
      <c r="L519" s="37" t="s">
        <v>19</v>
      </c>
    </row>
    <row r="520" spans="2:12" x14ac:dyDescent="0.25">
      <c r="B520" s="38"/>
      <c r="C520" s="44"/>
      <c r="D520" s="35"/>
      <c r="E520" s="35"/>
      <c r="F520" s="38"/>
      <c r="G520" s="41"/>
      <c r="H520" s="41"/>
      <c r="I520" s="42"/>
      <c r="J520" s="41"/>
      <c r="K520" s="41"/>
      <c r="L520" s="28">
        <f t="shared" ref="L520:L543" ca="1" si="55">IF(ISERROR(OFFSET(L520,-1,0,1,1)+D520-E520),D520-E520,OFFSET(L520,-1,0,1,1)+D520-E520)</f>
        <v>0</v>
      </c>
    </row>
    <row r="521" spans="2:12" x14ac:dyDescent="0.25">
      <c r="B521" s="38"/>
      <c r="C521" s="44"/>
      <c r="D521" s="35"/>
      <c r="E521" s="35"/>
      <c r="F521" s="40"/>
      <c r="G521" s="41"/>
      <c r="H521" s="41"/>
      <c r="I521" s="42"/>
      <c r="J521" s="41"/>
      <c r="K521" s="40"/>
      <c r="L521" s="28">
        <f t="shared" ca="1" si="55"/>
        <v>0</v>
      </c>
    </row>
    <row r="522" spans="2:12" x14ac:dyDescent="0.25">
      <c r="B522" s="38"/>
      <c r="C522" s="44"/>
      <c r="D522" s="35"/>
      <c r="E522" s="35"/>
      <c r="F522" s="40"/>
      <c r="G522" s="41"/>
      <c r="H522" s="41"/>
      <c r="I522" s="42"/>
      <c r="J522" s="41"/>
      <c r="K522" s="40"/>
      <c r="L522" s="28">
        <f t="shared" ca="1" si="55"/>
        <v>0</v>
      </c>
    </row>
    <row r="523" spans="2:12" ht="12.6" customHeight="1" x14ac:dyDescent="0.25">
      <c r="B523" s="38"/>
      <c r="C523" s="44"/>
      <c r="D523" s="35"/>
      <c r="E523" s="35"/>
      <c r="F523" s="40"/>
      <c r="G523" s="41"/>
      <c r="H523" s="41"/>
      <c r="I523" s="42"/>
      <c r="J523" s="41"/>
      <c r="K523" s="40"/>
      <c r="L523" s="28">
        <f t="shared" ca="1" si="55"/>
        <v>0</v>
      </c>
    </row>
    <row r="524" spans="2:12" ht="12.6" customHeight="1" x14ac:dyDescent="0.25">
      <c r="B524" s="38"/>
      <c r="C524" s="44"/>
      <c r="D524" s="35"/>
      <c r="E524" s="35"/>
      <c r="F524" s="38"/>
      <c r="G524" s="41"/>
      <c r="H524" s="41"/>
      <c r="I524" s="42"/>
      <c r="J524" s="41"/>
      <c r="K524" s="40"/>
      <c r="L524" s="28">
        <f t="shared" ca="1" si="55"/>
        <v>0</v>
      </c>
    </row>
    <row r="525" spans="2:12" x14ac:dyDescent="0.25">
      <c r="B525" s="38"/>
      <c r="C525" s="44"/>
      <c r="D525" s="35"/>
      <c r="E525" s="35"/>
      <c r="F525" s="38"/>
      <c r="G525" s="41"/>
      <c r="H525" s="41"/>
      <c r="I525" s="42"/>
      <c r="J525" s="41"/>
      <c r="K525" s="40"/>
      <c r="L525" s="28">
        <f t="shared" ca="1" si="55"/>
        <v>0</v>
      </c>
    </row>
    <row r="526" spans="2:12" x14ac:dyDescent="0.25">
      <c r="B526" s="38"/>
      <c r="C526" s="44"/>
      <c r="D526" s="35"/>
      <c r="E526" s="35"/>
      <c r="F526" s="38"/>
      <c r="G526" s="41"/>
      <c r="H526" s="41"/>
      <c r="I526" s="42"/>
      <c r="J526" s="41"/>
      <c r="K526" s="40"/>
      <c r="L526" s="28">
        <f t="shared" ca="1" si="55"/>
        <v>0</v>
      </c>
    </row>
    <row r="527" spans="2:12" x14ac:dyDescent="0.25">
      <c r="B527" s="38"/>
      <c r="C527" s="44"/>
      <c r="D527" s="35"/>
      <c r="E527" s="35"/>
      <c r="F527" s="38"/>
      <c r="G527" s="41"/>
      <c r="H527" s="41"/>
      <c r="I527" s="42"/>
      <c r="J527" s="41"/>
      <c r="K527" s="40"/>
      <c r="L527" s="28">
        <f t="shared" ca="1" si="55"/>
        <v>0</v>
      </c>
    </row>
    <row r="528" spans="2:12" x14ac:dyDescent="0.25">
      <c r="B528" s="38"/>
      <c r="C528" s="44"/>
      <c r="D528" s="35"/>
      <c r="E528" s="35"/>
      <c r="F528" s="38"/>
      <c r="G528" s="41"/>
      <c r="H528" s="41"/>
      <c r="I528" s="42"/>
      <c r="J528" s="41"/>
      <c r="K528" s="40"/>
      <c r="L528" s="28">
        <f t="shared" ca="1" si="55"/>
        <v>0</v>
      </c>
    </row>
    <row r="529" spans="2:12" x14ac:dyDescent="0.25">
      <c r="B529" s="38"/>
      <c r="C529" s="44"/>
      <c r="D529" s="35"/>
      <c r="E529" s="35"/>
      <c r="F529" s="40"/>
      <c r="G529" s="41"/>
      <c r="H529" s="41"/>
      <c r="I529" s="42"/>
      <c r="J529" s="41"/>
      <c r="K529" s="40"/>
      <c r="L529" s="28">
        <f t="shared" ca="1" si="55"/>
        <v>0</v>
      </c>
    </row>
    <row r="530" spans="2:12" x14ac:dyDescent="0.25">
      <c r="B530" s="38"/>
      <c r="C530" s="44"/>
      <c r="D530" s="35"/>
      <c r="E530" s="35"/>
      <c r="F530" s="40"/>
      <c r="G530" s="41"/>
      <c r="H530" s="41"/>
      <c r="I530" s="42"/>
      <c r="J530" s="41"/>
      <c r="K530" s="40"/>
      <c r="L530" s="28">
        <f t="shared" ca="1" si="55"/>
        <v>0</v>
      </c>
    </row>
    <row r="531" spans="2:12" x14ac:dyDescent="0.25">
      <c r="B531" s="38"/>
      <c r="C531" s="44"/>
      <c r="D531" s="35"/>
      <c r="E531" s="35"/>
      <c r="F531" s="40"/>
      <c r="G531" s="41"/>
      <c r="H531" s="41"/>
      <c r="I531" s="42"/>
      <c r="J531" s="41"/>
      <c r="K531" s="40"/>
      <c r="L531" s="28">
        <f t="shared" ca="1" si="55"/>
        <v>0</v>
      </c>
    </row>
    <row r="532" spans="2:12" x14ac:dyDescent="0.25">
      <c r="B532" s="38"/>
      <c r="C532" s="44"/>
      <c r="D532" s="35"/>
      <c r="E532" s="35"/>
      <c r="F532" s="38"/>
      <c r="G532" s="41"/>
      <c r="H532" s="41"/>
      <c r="I532" s="42"/>
      <c r="J532" s="41"/>
      <c r="K532" s="40"/>
      <c r="L532" s="28">
        <f t="shared" ca="1" si="55"/>
        <v>0</v>
      </c>
    </row>
    <row r="533" spans="2:12" x14ac:dyDescent="0.25">
      <c r="B533" s="38"/>
      <c r="C533" s="44"/>
      <c r="D533" s="35"/>
      <c r="E533" s="35"/>
      <c r="F533" s="38"/>
      <c r="G533" s="41"/>
      <c r="H533" s="41"/>
      <c r="I533" s="42"/>
      <c r="J533" s="41"/>
      <c r="K533" s="40"/>
      <c r="L533" s="28">
        <f t="shared" ca="1" si="55"/>
        <v>0</v>
      </c>
    </row>
    <row r="534" spans="2:12" x14ac:dyDescent="0.25">
      <c r="B534" s="38"/>
      <c r="C534" s="44"/>
      <c r="D534" s="35"/>
      <c r="E534" s="35"/>
      <c r="F534" s="38"/>
      <c r="G534" s="41"/>
      <c r="H534" s="41"/>
      <c r="I534" s="42"/>
      <c r="J534" s="41"/>
      <c r="K534" s="40"/>
      <c r="L534" s="28">
        <f t="shared" ca="1" si="55"/>
        <v>0</v>
      </c>
    </row>
    <row r="535" spans="2:12" x14ac:dyDescent="0.25">
      <c r="B535" s="38"/>
      <c r="C535" s="44"/>
      <c r="D535" s="35"/>
      <c r="E535" s="35"/>
      <c r="F535" s="38"/>
      <c r="G535" s="41"/>
      <c r="H535" s="41"/>
      <c r="I535" s="42"/>
      <c r="J535" s="41"/>
      <c r="K535" s="40"/>
      <c r="L535" s="28">
        <f t="shared" ca="1" si="55"/>
        <v>0</v>
      </c>
    </row>
    <row r="536" spans="2:12" x14ac:dyDescent="0.25">
      <c r="B536" s="38"/>
      <c r="C536" s="44"/>
      <c r="D536" s="35"/>
      <c r="E536" s="35"/>
      <c r="F536" s="40"/>
      <c r="G536" s="41"/>
      <c r="H536" s="41"/>
      <c r="I536" s="42"/>
      <c r="J536" s="41"/>
      <c r="K536" s="40"/>
      <c r="L536" s="28">
        <f t="shared" ca="1" si="55"/>
        <v>0</v>
      </c>
    </row>
    <row r="537" spans="2:12" x14ac:dyDescent="0.25">
      <c r="B537" s="38"/>
      <c r="C537" s="44"/>
      <c r="D537" s="35"/>
      <c r="E537" s="35"/>
      <c r="F537" s="40"/>
      <c r="G537" s="41"/>
      <c r="H537" s="41"/>
      <c r="I537" s="42"/>
      <c r="J537" s="41"/>
      <c r="K537" s="40"/>
      <c r="L537" s="28">
        <f t="shared" ca="1" si="55"/>
        <v>0</v>
      </c>
    </row>
    <row r="538" spans="2:12" x14ac:dyDescent="0.25">
      <c r="B538" s="38"/>
      <c r="C538" s="44"/>
      <c r="D538" s="35"/>
      <c r="E538" s="35"/>
      <c r="F538" s="38"/>
      <c r="G538" s="41"/>
      <c r="H538" s="41"/>
      <c r="I538" s="42"/>
      <c r="J538" s="41"/>
      <c r="K538" s="40"/>
      <c r="L538" s="28">
        <f ca="1">IF(ISERROR(OFFSET(L538,-1,0,1,1)+D538-E538),D538-E538,OFFSET(L538,-1,0,1,1)+D538-E538)</f>
        <v>0</v>
      </c>
    </row>
    <row r="539" spans="2:12" x14ac:dyDescent="0.25">
      <c r="B539" s="38"/>
      <c r="C539" s="44"/>
      <c r="D539" s="35"/>
      <c r="E539" s="35"/>
      <c r="F539" s="40"/>
      <c r="G539" s="41"/>
      <c r="H539" s="41"/>
      <c r="I539" s="42"/>
      <c r="J539" s="41"/>
      <c r="K539" s="40"/>
      <c r="L539" s="28">
        <f ca="1">IF(ISERROR(OFFSET(L539,-1,0,1,1)+D539-E539),D539-E539,OFFSET(L539,-1,0,1,1)+D539-E539)</f>
        <v>0</v>
      </c>
    </row>
    <row r="540" spans="2:12" x14ac:dyDescent="0.25">
      <c r="B540" s="38"/>
      <c r="C540" s="44"/>
      <c r="D540" s="35"/>
      <c r="E540" s="35"/>
      <c r="F540" s="40"/>
      <c r="G540" s="41"/>
      <c r="H540" s="41"/>
      <c r="I540" s="42"/>
      <c r="J540" s="41"/>
      <c r="K540" s="40"/>
      <c r="L540" s="28">
        <f ca="1">IF(ISERROR(OFFSET(L540,-1,0,1,1)+D540-E540),D540-E540,OFFSET(L540,-1,0,1,1)+D540-E540)</f>
        <v>0</v>
      </c>
    </row>
    <row r="541" spans="2:12" x14ac:dyDescent="0.25">
      <c r="B541" s="38"/>
      <c r="C541" s="44"/>
      <c r="D541" s="35"/>
      <c r="E541" s="35"/>
      <c r="F541" s="40"/>
      <c r="G541" s="41"/>
      <c r="H541" s="41"/>
      <c r="I541" s="42"/>
      <c r="J541" s="41"/>
      <c r="K541" s="40"/>
      <c r="L541" s="28">
        <f t="shared" ca="1" si="55"/>
        <v>0</v>
      </c>
    </row>
    <row r="542" spans="2:12" x14ac:dyDescent="0.25">
      <c r="B542" s="38"/>
      <c r="C542" s="44"/>
      <c r="D542" s="35"/>
      <c r="E542" s="35"/>
      <c r="F542" s="38"/>
      <c r="G542" s="41"/>
      <c r="H542" s="41"/>
      <c r="I542" s="42"/>
      <c r="J542" s="41"/>
      <c r="K542" s="40"/>
      <c r="L542" s="28">
        <f t="shared" ca="1" si="55"/>
        <v>0</v>
      </c>
    </row>
    <row r="543" spans="2:12" x14ac:dyDescent="0.25">
      <c r="B543" s="38"/>
      <c r="C543" s="44"/>
      <c r="D543" s="35"/>
      <c r="E543" s="35"/>
      <c r="F543" s="38"/>
      <c r="G543" s="41"/>
      <c r="H543" s="41"/>
      <c r="I543" s="42"/>
      <c r="J543" s="41"/>
      <c r="K543" s="40"/>
      <c r="L543" s="28">
        <f t="shared" ca="1" si="55"/>
        <v>0</v>
      </c>
    </row>
    <row r="544" spans="2:12" x14ac:dyDescent="0.25">
      <c r="B544" s="38"/>
      <c r="C544" s="44"/>
      <c r="D544" s="35"/>
      <c r="E544" s="35"/>
      <c r="F544" s="38"/>
      <c r="G544" s="41"/>
      <c r="H544" s="41"/>
      <c r="I544" s="42"/>
      <c r="J544" s="41"/>
      <c r="K544" s="40"/>
      <c r="L544" s="28">
        <f t="shared" ref="L544:L551" ca="1" si="56">IF(ISERROR(OFFSET(L544,-1,0,1,1)+D544-E544),D544-E544,OFFSET(L544,-1,0,1,1)+D544-E544)</f>
        <v>0</v>
      </c>
    </row>
    <row r="545" spans="2:12" x14ac:dyDescent="0.25">
      <c r="B545" s="38"/>
      <c r="C545" s="44"/>
      <c r="D545" s="35"/>
      <c r="E545" s="35"/>
      <c r="F545" s="38"/>
      <c r="G545" s="41"/>
      <c r="H545" s="41"/>
      <c r="I545" s="42"/>
      <c r="J545" s="41"/>
      <c r="K545" s="40"/>
      <c r="L545" s="28">
        <f t="shared" ca="1" si="56"/>
        <v>0</v>
      </c>
    </row>
    <row r="546" spans="2:12" x14ac:dyDescent="0.25">
      <c r="B546" s="38"/>
      <c r="C546" s="44"/>
      <c r="D546" s="35"/>
      <c r="E546" s="35"/>
      <c r="F546" s="38"/>
      <c r="G546" s="41"/>
      <c r="H546" s="41"/>
      <c r="I546" s="42"/>
      <c r="J546" s="41"/>
      <c r="K546" s="40"/>
      <c r="L546" s="28">
        <f t="shared" ca="1" si="56"/>
        <v>0</v>
      </c>
    </row>
    <row r="547" spans="2:12" x14ac:dyDescent="0.25">
      <c r="B547" s="38"/>
      <c r="C547" s="44"/>
      <c r="D547" s="35"/>
      <c r="E547" s="35"/>
      <c r="F547" s="40"/>
      <c r="G547" s="41"/>
      <c r="H547" s="41"/>
      <c r="I547" s="42"/>
      <c r="J547" s="41"/>
      <c r="K547" s="40"/>
      <c r="L547" s="28">
        <f t="shared" ca="1" si="56"/>
        <v>0</v>
      </c>
    </row>
    <row r="548" spans="2:12" x14ac:dyDescent="0.25">
      <c r="B548" s="38"/>
      <c r="C548" s="44"/>
      <c r="D548" s="35"/>
      <c r="E548" s="35"/>
      <c r="F548" s="40"/>
      <c r="G548" s="41"/>
      <c r="H548" s="41"/>
      <c r="I548" s="42"/>
      <c r="J548" s="41"/>
      <c r="K548" s="40"/>
      <c r="L548" s="28">
        <f t="shared" ca="1" si="56"/>
        <v>0</v>
      </c>
    </row>
    <row r="549" spans="2:12" x14ac:dyDescent="0.25">
      <c r="B549" s="38"/>
      <c r="C549" s="44"/>
      <c r="D549" s="35"/>
      <c r="E549" s="35"/>
      <c r="F549" s="40"/>
      <c r="G549" s="41"/>
      <c r="H549" s="41"/>
      <c r="I549" s="42"/>
      <c r="J549" s="41"/>
      <c r="K549" s="40"/>
      <c r="L549" s="28">
        <f t="shared" ca="1" si="56"/>
        <v>0</v>
      </c>
    </row>
    <row r="550" spans="2:12" x14ac:dyDescent="0.25">
      <c r="B550" s="38"/>
      <c r="C550" s="44"/>
      <c r="D550" s="35"/>
      <c r="E550" s="35"/>
      <c r="F550" s="38"/>
      <c r="G550" s="41"/>
      <c r="H550" s="41"/>
      <c r="I550" s="42"/>
      <c r="J550" s="41"/>
      <c r="K550" s="40"/>
      <c r="L550" s="28">
        <f t="shared" ca="1" si="56"/>
        <v>0</v>
      </c>
    </row>
    <row r="551" spans="2:12" x14ac:dyDescent="0.25">
      <c r="B551" s="38"/>
      <c r="C551" s="44"/>
      <c r="D551" s="35"/>
      <c r="E551" s="35"/>
      <c r="F551" s="38"/>
      <c r="G551" s="41"/>
      <c r="H551" s="41"/>
      <c r="I551" s="42"/>
      <c r="J551" s="41"/>
      <c r="K551" s="40"/>
      <c r="L551" s="28">
        <f t="shared" ca="1" si="56"/>
        <v>0</v>
      </c>
    </row>
    <row r="552" spans="2:12" x14ac:dyDescent="0.25">
      <c r="B552" s="38"/>
      <c r="C552" s="44"/>
      <c r="D552" s="35"/>
      <c r="E552" s="35"/>
      <c r="F552" s="38"/>
      <c r="G552" s="41"/>
      <c r="H552" s="41"/>
      <c r="I552" s="42"/>
      <c r="J552" s="41"/>
      <c r="K552" s="40"/>
      <c r="L552" s="28">
        <f t="shared" ref="L552:L565" ca="1" si="57">IF(ISERROR(OFFSET(L552,-1,0,1,1)+D552-E552),D552-E552,OFFSET(L552,-1,0,1,1)+D552-E552)</f>
        <v>0</v>
      </c>
    </row>
    <row r="553" spans="2:12" x14ac:dyDescent="0.25">
      <c r="B553" s="38"/>
      <c r="C553" s="44"/>
      <c r="D553" s="35"/>
      <c r="E553" s="35"/>
      <c r="F553" s="38"/>
      <c r="G553" s="41"/>
      <c r="H553" s="41"/>
      <c r="I553" s="42"/>
      <c r="J553" s="41"/>
      <c r="K553" s="40"/>
      <c r="L553" s="28">
        <f t="shared" ca="1" si="57"/>
        <v>0</v>
      </c>
    </row>
    <row r="554" spans="2:12" x14ac:dyDescent="0.25">
      <c r="B554" s="38"/>
      <c r="C554" s="44"/>
      <c r="D554" s="35"/>
      <c r="E554" s="35"/>
      <c r="F554" s="38"/>
      <c r="G554" s="41"/>
      <c r="H554" s="41"/>
      <c r="I554" s="42"/>
      <c r="J554" s="41"/>
      <c r="K554" s="40"/>
      <c r="L554" s="28">
        <f t="shared" ref="L554:L557" ca="1" si="58">IF(ISERROR(OFFSET(L554,-1,0,1,1)+D554-E554),D554-E554,OFFSET(L554,-1,0,1,1)+D554-E554)</f>
        <v>0</v>
      </c>
    </row>
    <row r="555" spans="2:12" x14ac:dyDescent="0.25">
      <c r="B555" s="38"/>
      <c r="C555" s="44"/>
      <c r="D555" s="35"/>
      <c r="E555" s="35"/>
      <c r="F555" s="40"/>
      <c r="G555" s="41"/>
      <c r="H555" s="41"/>
      <c r="I555" s="42"/>
      <c r="J555" s="41"/>
      <c r="K555" s="40"/>
      <c r="L555" s="28">
        <f t="shared" ca="1" si="58"/>
        <v>0</v>
      </c>
    </row>
    <row r="556" spans="2:12" x14ac:dyDescent="0.25">
      <c r="B556" s="38"/>
      <c r="C556" s="44"/>
      <c r="D556" s="35"/>
      <c r="E556" s="35"/>
      <c r="F556" s="40"/>
      <c r="G556" s="41"/>
      <c r="H556" s="41"/>
      <c r="I556" s="42"/>
      <c r="J556" s="41"/>
      <c r="K556" s="40"/>
      <c r="L556" s="28">
        <f t="shared" ca="1" si="58"/>
        <v>0</v>
      </c>
    </row>
    <row r="557" spans="2:12" x14ac:dyDescent="0.25">
      <c r="B557" s="38"/>
      <c r="C557" s="44"/>
      <c r="D557" s="35"/>
      <c r="E557" s="35"/>
      <c r="F557" s="40"/>
      <c r="G557" s="41"/>
      <c r="H557" s="41"/>
      <c r="I557" s="42"/>
      <c r="J557" s="41"/>
      <c r="K557" s="40"/>
      <c r="L557" s="28">
        <f t="shared" ca="1" si="58"/>
        <v>0</v>
      </c>
    </row>
    <row r="558" spans="2:12" x14ac:dyDescent="0.25">
      <c r="B558" s="38"/>
      <c r="C558" s="44"/>
      <c r="D558" s="35"/>
      <c r="E558" s="35"/>
      <c r="F558" s="38"/>
      <c r="G558" s="41"/>
      <c r="H558" s="41"/>
      <c r="I558" s="42"/>
      <c r="J558" s="41"/>
      <c r="K558" s="40"/>
      <c r="L558" s="28">
        <f t="shared" ref="L558:L559" ca="1" si="59">IF(ISERROR(OFFSET(L558,-1,0,1,1)+D558-E558),D558-E558,OFFSET(L558,-1,0,1,1)+D558-E558)</f>
        <v>0</v>
      </c>
    </row>
    <row r="559" spans="2:12" x14ac:dyDescent="0.25">
      <c r="B559" s="38"/>
      <c r="C559" s="44"/>
      <c r="D559" s="35"/>
      <c r="E559" s="35"/>
      <c r="F559" s="38"/>
      <c r="G559" s="41"/>
      <c r="H559" s="41"/>
      <c r="I559" s="42"/>
      <c r="J559" s="41"/>
      <c r="K559" s="40"/>
      <c r="L559" s="28">
        <f t="shared" ca="1" si="59"/>
        <v>0</v>
      </c>
    </row>
    <row r="560" spans="2:12" x14ac:dyDescent="0.25">
      <c r="B560" s="38"/>
      <c r="C560" s="44"/>
      <c r="D560" s="35"/>
      <c r="E560" s="35"/>
      <c r="F560" s="38"/>
      <c r="G560" s="41"/>
      <c r="H560" s="41"/>
      <c r="I560" s="42"/>
      <c r="J560" s="41"/>
      <c r="K560" s="40"/>
      <c r="L560" s="28">
        <f ca="1">IF(ISERROR(OFFSET(L560,-1,0,1,1)+D560-E560),D560-E560,OFFSET(L560,-1,0,1,1)+D560-E560)</f>
        <v>0</v>
      </c>
    </row>
    <row r="561" spans="2:12" x14ac:dyDescent="0.25">
      <c r="B561" s="38"/>
      <c r="C561" s="44"/>
      <c r="D561" s="35"/>
      <c r="E561" s="35"/>
      <c r="F561" s="38"/>
      <c r="G561" s="41"/>
      <c r="H561" s="41"/>
      <c r="I561" s="42"/>
      <c r="J561" s="41"/>
      <c r="K561" s="40"/>
      <c r="L561" s="28">
        <f ca="1">IF(ISERROR(OFFSET(L561,-1,0,1,1)+D561-E561),D561-E561,OFFSET(L561,-1,0,1,1)+D561-E561)</f>
        <v>0</v>
      </c>
    </row>
    <row r="562" spans="2:12" x14ac:dyDescent="0.25">
      <c r="B562" s="38"/>
      <c r="C562" s="44"/>
      <c r="D562" s="35"/>
      <c r="E562" s="35"/>
      <c r="F562" s="40"/>
      <c r="G562" s="41"/>
      <c r="H562" s="41"/>
      <c r="I562" s="42"/>
      <c r="J562" s="41"/>
      <c r="K562" s="40"/>
      <c r="L562" s="28">
        <f t="shared" ca="1" si="57"/>
        <v>0</v>
      </c>
    </row>
    <row r="563" spans="2:12" x14ac:dyDescent="0.25">
      <c r="B563" s="38"/>
      <c r="C563" s="44"/>
      <c r="D563" s="35"/>
      <c r="E563" s="35"/>
      <c r="F563" s="40"/>
      <c r="G563" s="41"/>
      <c r="H563" s="41"/>
      <c r="I563" s="42"/>
      <c r="J563" s="41"/>
      <c r="K563" s="40"/>
      <c r="L563" s="28">
        <f t="shared" ca="1" si="57"/>
        <v>0</v>
      </c>
    </row>
    <row r="564" spans="2:12" x14ac:dyDescent="0.25">
      <c r="B564" s="38"/>
      <c r="C564" s="39"/>
      <c r="D564" s="35"/>
      <c r="E564" s="35"/>
      <c r="F564" s="40"/>
      <c r="G564" s="41"/>
      <c r="H564" s="41"/>
      <c r="I564" s="42"/>
      <c r="J564" s="41"/>
      <c r="K564" s="40"/>
      <c r="L564" s="28">
        <f t="shared" ca="1" si="57"/>
        <v>0</v>
      </c>
    </row>
    <row r="565" spans="2:12" x14ac:dyDescent="0.25">
      <c r="B565" s="38"/>
      <c r="C565" s="39"/>
      <c r="D565" s="35"/>
      <c r="E565" s="35"/>
      <c r="F565" s="40"/>
      <c r="G565" s="41"/>
      <c r="H565" s="41"/>
      <c r="I565" s="42"/>
      <c r="J565" s="41"/>
      <c r="K565" s="40"/>
      <c r="L565" s="28">
        <f t="shared" ca="1" si="57"/>
        <v>0</v>
      </c>
    </row>
    <row r="566" spans="2:12" x14ac:dyDescent="0.25">
      <c r="B566" s="47"/>
      <c r="C566" s="48"/>
      <c r="D566" s="52">
        <f>SUBTOTAL(109,NovEst_2024[INGRESO])</f>
        <v>0</v>
      </c>
      <c r="E566" s="52">
        <f>SUBTOTAL(109,NovEst_2024[EGRESO])</f>
        <v>0</v>
      </c>
      <c r="F566" s="49"/>
      <c r="G566" s="50"/>
      <c r="H566" s="50"/>
      <c r="I566" s="51"/>
      <c r="J566" s="50"/>
      <c r="K566" s="49"/>
      <c r="L566" s="53"/>
    </row>
    <row r="567" spans="2:12" ht="15.75" x14ac:dyDescent="0.25">
      <c r="B567"/>
      <c r="C567" s="34"/>
      <c r="D567" s="35"/>
      <c r="E567" s="35"/>
      <c r="F567"/>
      <c r="G567" s="32"/>
      <c r="H567" s="32"/>
      <c r="I567"/>
      <c r="J567" s="32"/>
      <c r="K567"/>
      <c r="L567"/>
    </row>
    <row r="568" spans="2:12" ht="15.75" x14ac:dyDescent="0.25">
      <c r="B568" s="76" t="s">
        <v>131</v>
      </c>
      <c r="C568" s="77"/>
      <c r="D568" s="77"/>
      <c r="E568" s="77"/>
      <c r="F568" s="77"/>
      <c r="G568" s="77"/>
      <c r="H568" s="77"/>
      <c r="I568" s="77"/>
      <c r="J568" s="77"/>
      <c r="K568" s="77"/>
      <c r="L568" s="77"/>
    </row>
    <row r="569" spans="2:12" x14ac:dyDescent="0.25">
      <c r="B569" s="36" t="s">
        <v>16</v>
      </c>
      <c r="C569" s="37" t="s">
        <v>17</v>
      </c>
      <c r="D569" s="46" t="s">
        <v>73</v>
      </c>
      <c r="E569" s="46" t="s">
        <v>74</v>
      </c>
      <c r="F569" s="37" t="s">
        <v>54</v>
      </c>
      <c r="G569" s="37" t="s">
        <v>76</v>
      </c>
      <c r="H569" s="37" t="s">
        <v>77</v>
      </c>
      <c r="I569" s="37" t="s">
        <v>75</v>
      </c>
      <c r="J569" s="37" t="s">
        <v>18</v>
      </c>
      <c r="K569" s="37" t="s">
        <v>64</v>
      </c>
      <c r="L569" s="37" t="s">
        <v>19</v>
      </c>
    </row>
    <row r="570" spans="2:12" x14ac:dyDescent="0.25">
      <c r="B570" s="38"/>
      <c r="C570" s="44"/>
      <c r="D570" s="35"/>
      <c r="E570" s="35"/>
      <c r="F570" s="38"/>
      <c r="G570" s="41"/>
      <c r="H570" s="41"/>
      <c r="I570" s="42"/>
      <c r="J570" s="41"/>
      <c r="K570" s="41"/>
      <c r="L570" s="28">
        <f t="shared" ref="L570:L608" ca="1" si="60">IF(ISERROR(OFFSET(L570,-1,0,1,1)+D570-E570),D570-E570,OFFSET(L570,-1,0,1,1)+D570-E570)</f>
        <v>0</v>
      </c>
    </row>
    <row r="571" spans="2:12" x14ac:dyDescent="0.25">
      <c r="B571" s="38"/>
      <c r="C571" s="44"/>
      <c r="D571" s="35"/>
      <c r="E571" s="35"/>
      <c r="F571" s="40"/>
      <c r="G571" s="41"/>
      <c r="H571" s="41"/>
      <c r="I571" s="42"/>
      <c r="J571" s="41"/>
      <c r="K571" s="40"/>
      <c r="L571" s="28">
        <f t="shared" ca="1" si="60"/>
        <v>0</v>
      </c>
    </row>
    <row r="572" spans="2:12" x14ac:dyDescent="0.25">
      <c r="B572" s="38"/>
      <c r="C572" s="44"/>
      <c r="D572" s="35"/>
      <c r="E572" s="35"/>
      <c r="F572" s="40"/>
      <c r="G572" s="41"/>
      <c r="H572" s="41"/>
      <c r="I572" s="42"/>
      <c r="J572" s="41"/>
      <c r="K572" s="40"/>
      <c r="L572" s="28">
        <f t="shared" ca="1" si="60"/>
        <v>0</v>
      </c>
    </row>
    <row r="573" spans="2:12" ht="12.6" customHeight="1" x14ac:dyDescent="0.25">
      <c r="B573" s="38"/>
      <c r="C573" s="44"/>
      <c r="D573" s="35"/>
      <c r="E573" s="35"/>
      <c r="F573" s="40"/>
      <c r="G573" s="41"/>
      <c r="H573" s="41"/>
      <c r="I573" s="42"/>
      <c r="J573" s="41"/>
      <c r="K573" s="40"/>
      <c r="L573" s="28">
        <f t="shared" ca="1" si="60"/>
        <v>0</v>
      </c>
    </row>
    <row r="574" spans="2:12" ht="12.6" customHeight="1" x14ac:dyDescent="0.25">
      <c r="B574" s="38"/>
      <c r="C574" s="44"/>
      <c r="D574" s="35"/>
      <c r="E574" s="35"/>
      <c r="F574" s="38"/>
      <c r="G574" s="41"/>
      <c r="H574" s="41"/>
      <c r="I574" s="42"/>
      <c r="J574" s="41"/>
      <c r="K574" s="40"/>
      <c r="L574" s="28">
        <f t="shared" ca="1" si="60"/>
        <v>0</v>
      </c>
    </row>
    <row r="575" spans="2:12" x14ac:dyDescent="0.25">
      <c r="B575" s="38"/>
      <c r="C575" s="44"/>
      <c r="D575" s="35"/>
      <c r="E575" s="35"/>
      <c r="F575" s="38"/>
      <c r="G575" s="41"/>
      <c r="H575" s="41"/>
      <c r="I575" s="42"/>
      <c r="J575" s="41"/>
      <c r="K575" s="40"/>
      <c r="L575" s="28">
        <f t="shared" ca="1" si="60"/>
        <v>0</v>
      </c>
    </row>
    <row r="576" spans="2:12" x14ac:dyDescent="0.25">
      <c r="B576" s="38"/>
      <c r="C576" s="44"/>
      <c r="D576" s="35"/>
      <c r="E576" s="35"/>
      <c r="F576" s="38"/>
      <c r="G576" s="41"/>
      <c r="H576" s="41"/>
      <c r="I576" s="42"/>
      <c r="J576" s="41"/>
      <c r="K576" s="40"/>
      <c r="L576" s="28">
        <f t="shared" ca="1" si="60"/>
        <v>0</v>
      </c>
    </row>
    <row r="577" spans="2:12" x14ac:dyDescent="0.25">
      <c r="B577" s="38"/>
      <c r="C577" s="44"/>
      <c r="D577" s="35"/>
      <c r="E577" s="35"/>
      <c r="F577" s="38"/>
      <c r="G577" s="41"/>
      <c r="H577" s="41"/>
      <c r="I577" s="42"/>
      <c r="J577" s="41"/>
      <c r="K577" s="40"/>
      <c r="L577" s="28">
        <f t="shared" ca="1" si="60"/>
        <v>0</v>
      </c>
    </row>
    <row r="578" spans="2:12" x14ac:dyDescent="0.25">
      <c r="B578" s="38"/>
      <c r="C578" s="44"/>
      <c r="D578" s="35"/>
      <c r="E578" s="35"/>
      <c r="F578" s="38"/>
      <c r="G578" s="41"/>
      <c r="H578" s="41"/>
      <c r="I578" s="42"/>
      <c r="J578" s="41"/>
      <c r="K578" s="40"/>
      <c r="L578" s="28">
        <f t="shared" ca="1" si="60"/>
        <v>0</v>
      </c>
    </row>
    <row r="579" spans="2:12" x14ac:dyDescent="0.25">
      <c r="B579" s="38"/>
      <c r="C579" s="44"/>
      <c r="D579" s="35"/>
      <c r="E579" s="35"/>
      <c r="F579" s="40"/>
      <c r="G579" s="41"/>
      <c r="H579" s="41"/>
      <c r="I579" s="42"/>
      <c r="J579" s="41"/>
      <c r="K579" s="40"/>
      <c r="L579" s="28">
        <f t="shared" ca="1" si="60"/>
        <v>0</v>
      </c>
    </row>
    <row r="580" spans="2:12" x14ac:dyDescent="0.25">
      <c r="B580" s="38"/>
      <c r="C580" s="44"/>
      <c r="D580" s="35"/>
      <c r="E580" s="35"/>
      <c r="F580" s="40"/>
      <c r="G580" s="41"/>
      <c r="H580" s="41"/>
      <c r="I580" s="42"/>
      <c r="J580" s="41"/>
      <c r="K580" s="40"/>
      <c r="L580" s="28">
        <f t="shared" ca="1" si="60"/>
        <v>0</v>
      </c>
    </row>
    <row r="581" spans="2:12" x14ac:dyDescent="0.25">
      <c r="B581" s="38"/>
      <c r="C581" s="44"/>
      <c r="D581" s="35"/>
      <c r="E581" s="35"/>
      <c r="F581" s="40"/>
      <c r="G581" s="41"/>
      <c r="H581" s="41"/>
      <c r="I581" s="42"/>
      <c r="J581" s="41"/>
      <c r="K581" s="40"/>
      <c r="L581" s="28">
        <f t="shared" ca="1" si="60"/>
        <v>0</v>
      </c>
    </row>
    <row r="582" spans="2:12" x14ac:dyDescent="0.25">
      <c r="B582" s="38"/>
      <c r="C582" s="44"/>
      <c r="D582" s="35"/>
      <c r="E582" s="35"/>
      <c r="F582" s="38"/>
      <c r="G582" s="41"/>
      <c r="H582" s="41"/>
      <c r="I582" s="42"/>
      <c r="J582" s="41"/>
      <c r="K582" s="40"/>
      <c r="L582" s="28">
        <f t="shared" ca="1" si="60"/>
        <v>0</v>
      </c>
    </row>
    <row r="583" spans="2:12" x14ac:dyDescent="0.25">
      <c r="B583" s="38"/>
      <c r="C583" s="44"/>
      <c r="D583" s="35"/>
      <c r="E583" s="35"/>
      <c r="F583" s="38"/>
      <c r="G583" s="41"/>
      <c r="H583" s="41"/>
      <c r="I583" s="42"/>
      <c r="J583" s="41"/>
      <c r="K583" s="40"/>
      <c r="L583" s="28">
        <f t="shared" ca="1" si="60"/>
        <v>0</v>
      </c>
    </row>
    <row r="584" spans="2:12" x14ac:dyDescent="0.25">
      <c r="B584" s="38"/>
      <c r="C584" s="44"/>
      <c r="D584" s="35"/>
      <c r="E584" s="35"/>
      <c r="F584" s="38"/>
      <c r="G584" s="41"/>
      <c r="H584" s="41"/>
      <c r="I584" s="42"/>
      <c r="J584" s="41"/>
      <c r="K584" s="40"/>
      <c r="L584" s="28">
        <f t="shared" ca="1" si="60"/>
        <v>0</v>
      </c>
    </row>
    <row r="585" spans="2:12" x14ac:dyDescent="0.25">
      <c r="B585" s="38"/>
      <c r="C585" s="44"/>
      <c r="D585" s="35"/>
      <c r="E585" s="35"/>
      <c r="F585" s="38"/>
      <c r="G585" s="41"/>
      <c r="H585" s="41"/>
      <c r="I585" s="42"/>
      <c r="J585" s="41"/>
      <c r="K585" s="40"/>
      <c r="L585" s="28">
        <f t="shared" ca="1" si="60"/>
        <v>0</v>
      </c>
    </row>
    <row r="586" spans="2:12" x14ac:dyDescent="0.25">
      <c r="B586" s="38"/>
      <c r="C586" s="44"/>
      <c r="D586" s="35"/>
      <c r="E586" s="35"/>
      <c r="F586" s="40"/>
      <c r="G586" s="41"/>
      <c r="H586" s="41"/>
      <c r="I586" s="42"/>
      <c r="J586" s="41"/>
      <c r="K586" s="40"/>
      <c r="L586" s="28">
        <f t="shared" ca="1" si="60"/>
        <v>0</v>
      </c>
    </row>
    <row r="587" spans="2:12" x14ac:dyDescent="0.25">
      <c r="B587" s="38"/>
      <c r="C587" s="44"/>
      <c r="D587" s="35"/>
      <c r="E587" s="35"/>
      <c r="F587" s="40"/>
      <c r="G587" s="41"/>
      <c r="H587" s="41"/>
      <c r="I587" s="42"/>
      <c r="J587" s="41"/>
      <c r="K587" s="40"/>
      <c r="L587" s="28">
        <f t="shared" ca="1" si="60"/>
        <v>0</v>
      </c>
    </row>
    <row r="588" spans="2:12" x14ac:dyDescent="0.25">
      <c r="B588" s="38"/>
      <c r="C588" s="44"/>
      <c r="D588" s="35"/>
      <c r="E588" s="35"/>
      <c r="F588" s="38"/>
      <c r="G588" s="41"/>
      <c r="H588" s="41"/>
      <c r="I588" s="42"/>
      <c r="J588" s="41"/>
      <c r="K588" s="40"/>
      <c r="L588" s="28">
        <f t="shared" ref="L588:L592" ca="1" si="61">IF(ISERROR(OFFSET(L588,-1,0,1,1)+D588-E588),D588-E588,OFFSET(L588,-1,0,1,1)+D588-E588)</f>
        <v>0</v>
      </c>
    </row>
    <row r="589" spans="2:12" x14ac:dyDescent="0.25">
      <c r="B589" s="38"/>
      <c r="C589" s="44"/>
      <c r="D589" s="35"/>
      <c r="E589" s="35"/>
      <c r="F589" s="40"/>
      <c r="G589" s="41"/>
      <c r="H589" s="41"/>
      <c r="I589" s="42"/>
      <c r="J589" s="41"/>
      <c r="K589" s="40"/>
      <c r="L589" s="28">
        <f t="shared" ca="1" si="61"/>
        <v>0</v>
      </c>
    </row>
    <row r="590" spans="2:12" x14ac:dyDescent="0.25">
      <c r="B590" s="38"/>
      <c r="C590" s="44"/>
      <c r="D590" s="35"/>
      <c r="E590" s="35"/>
      <c r="F590" s="40"/>
      <c r="G590" s="41"/>
      <c r="H590" s="41"/>
      <c r="I590" s="42"/>
      <c r="J590" s="41"/>
      <c r="K590" s="40"/>
      <c r="L590" s="28">
        <f t="shared" ca="1" si="61"/>
        <v>0</v>
      </c>
    </row>
    <row r="591" spans="2:12" x14ac:dyDescent="0.25">
      <c r="B591" s="38"/>
      <c r="C591" s="44"/>
      <c r="D591" s="35"/>
      <c r="E591" s="35"/>
      <c r="F591" s="38"/>
      <c r="G591" s="41"/>
      <c r="H591" s="41"/>
      <c r="I591" s="42"/>
      <c r="J591" s="41"/>
      <c r="K591" s="40"/>
      <c r="L591" s="28">
        <f t="shared" ca="1" si="61"/>
        <v>0</v>
      </c>
    </row>
    <row r="592" spans="2:12" x14ac:dyDescent="0.25">
      <c r="B592" s="38"/>
      <c r="C592" s="44"/>
      <c r="D592" s="35"/>
      <c r="E592" s="35"/>
      <c r="F592" s="38"/>
      <c r="G592" s="41"/>
      <c r="H592" s="41"/>
      <c r="I592" s="42"/>
      <c r="J592" s="41"/>
      <c r="K592" s="40"/>
      <c r="L592" s="28">
        <f t="shared" ca="1" si="61"/>
        <v>0</v>
      </c>
    </row>
    <row r="593" spans="2:12" x14ac:dyDescent="0.25">
      <c r="B593" s="38"/>
      <c r="C593" s="44"/>
      <c r="D593" s="35"/>
      <c r="E593" s="35"/>
      <c r="F593" s="38"/>
      <c r="G593" s="41"/>
      <c r="H593" s="41"/>
      <c r="I593" s="42"/>
      <c r="J593" s="41"/>
      <c r="K593" s="40"/>
      <c r="L593" s="28">
        <f t="shared" ca="1" si="60"/>
        <v>0</v>
      </c>
    </row>
    <row r="594" spans="2:12" x14ac:dyDescent="0.25">
      <c r="B594" s="38"/>
      <c r="C594" s="44"/>
      <c r="D594" s="35"/>
      <c r="E594" s="35"/>
      <c r="F594" s="40"/>
      <c r="G594" s="41"/>
      <c r="H594" s="41"/>
      <c r="I594" s="42"/>
      <c r="J594" s="41"/>
      <c r="K594" s="40"/>
      <c r="L594" s="28">
        <f t="shared" ca="1" si="60"/>
        <v>0</v>
      </c>
    </row>
    <row r="595" spans="2:12" x14ac:dyDescent="0.25">
      <c r="B595" s="38"/>
      <c r="C595" s="44"/>
      <c r="D595" s="35"/>
      <c r="E595" s="35"/>
      <c r="F595" s="40"/>
      <c r="G595" s="41"/>
      <c r="H595" s="41"/>
      <c r="I595" s="42"/>
      <c r="J595" s="41"/>
      <c r="K595" s="40"/>
      <c r="L595" s="28">
        <f t="shared" ca="1" si="60"/>
        <v>0</v>
      </c>
    </row>
    <row r="596" spans="2:12" x14ac:dyDescent="0.25">
      <c r="B596" s="38"/>
      <c r="C596" s="44"/>
      <c r="D596" s="35"/>
      <c r="E596" s="35"/>
      <c r="F596" s="40"/>
      <c r="G596" s="41"/>
      <c r="H596" s="41"/>
      <c r="I596" s="42"/>
      <c r="J596" s="41"/>
      <c r="K596" s="40"/>
      <c r="L596" s="28">
        <f t="shared" ref="L596:L600" ca="1" si="62">IF(ISERROR(OFFSET(L596,-1,0,1,1)+D596-E596),D596-E596,OFFSET(L596,-1,0,1,1)+D596-E596)</f>
        <v>0</v>
      </c>
    </row>
    <row r="597" spans="2:12" x14ac:dyDescent="0.25">
      <c r="B597" s="38"/>
      <c r="C597" s="44"/>
      <c r="D597" s="35"/>
      <c r="E597" s="35"/>
      <c r="F597" s="38"/>
      <c r="G597" s="41"/>
      <c r="H597" s="41"/>
      <c r="I597" s="42"/>
      <c r="J597" s="41"/>
      <c r="K597" s="40"/>
      <c r="L597" s="28">
        <f t="shared" ca="1" si="62"/>
        <v>0</v>
      </c>
    </row>
    <row r="598" spans="2:12" x14ac:dyDescent="0.25">
      <c r="B598" s="38"/>
      <c r="C598" s="44"/>
      <c r="D598" s="35"/>
      <c r="E598" s="35"/>
      <c r="F598" s="38"/>
      <c r="G598" s="41"/>
      <c r="H598" s="41"/>
      <c r="I598" s="42"/>
      <c r="J598" s="41"/>
      <c r="K598" s="40"/>
      <c r="L598" s="28">
        <f t="shared" ca="1" si="62"/>
        <v>0</v>
      </c>
    </row>
    <row r="599" spans="2:12" x14ac:dyDescent="0.25">
      <c r="B599" s="38"/>
      <c r="C599" s="44"/>
      <c r="D599" s="35"/>
      <c r="E599" s="35"/>
      <c r="F599" s="38"/>
      <c r="G599" s="41"/>
      <c r="H599" s="41"/>
      <c r="I599" s="42"/>
      <c r="J599" s="41"/>
      <c r="K599" s="40"/>
      <c r="L599" s="28">
        <f t="shared" ca="1" si="62"/>
        <v>0</v>
      </c>
    </row>
    <row r="600" spans="2:12" x14ac:dyDescent="0.25">
      <c r="B600" s="38"/>
      <c r="C600" s="44"/>
      <c r="D600" s="35"/>
      <c r="E600" s="35"/>
      <c r="F600" s="38"/>
      <c r="G600" s="41"/>
      <c r="H600" s="41"/>
      <c r="I600" s="42"/>
      <c r="J600" s="41"/>
      <c r="K600" s="40"/>
      <c r="L600" s="28">
        <f t="shared" ca="1" si="62"/>
        <v>0</v>
      </c>
    </row>
    <row r="601" spans="2:12" x14ac:dyDescent="0.25">
      <c r="B601" s="38"/>
      <c r="C601" s="44"/>
      <c r="D601" s="35"/>
      <c r="E601" s="35"/>
      <c r="F601" s="38"/>
      <c r="G601" s="41"/>
      <c r="H601" s="41"/>
      <c r="I601" s="42"/>
      <c r="J601" s="41"/>
      <c r="K601" s="40"/>
      <c r="L601" s="28">
        <f t="shared" ref="L601:L605" ca="1" si="63">IF(ISERROR(OFFSET(L601,-1,0,1,1)+D601-E601),D601-E601,OFFSET(L601,-1,0,1,1)+D601-E601)</f>
        <v>0</v>
      </c>
    </row>
    <row r="602" spans="2:12" x14ac:dyDescent="0.25">
      <c r="B602" s="38"/>
      <c r="C602" s="44"/>
      <c r="D602" s="35"/>
      <c r="E602" s="35"/>
      <c r="F602" s="40"/>
      <c r="G602" s="41"/>
      <c r="H602" s="41"/>
      <c r="I602" s="42"/>
      <c r="J602" s="41"/>
      <c r="K602" s="40"/>
      <c r="L602" s="28">
        <f t="shared" ca="1" si="63"/>
        <v>0</v>
      </c>
    </row>
    <row r="603" spans="2:12" x14ac:dyDescent="0.25">
      <c r="B603" s="38"/>
      <c r="C603" s="44"/>
      <c r="D603" s="35"/>
      <c r="E603" s="35"/>
      <c r="F603" s="40"/>
      <c r="G603" s="41"/>
      <c r="H603" s="41"/>
      <c r="I603" s="42"/>
      <c r="J603" s="41"/>
      <c r="K603" s="40"/>
      <c r="L603" s="28">
        <f t="shared" ca="1" si="63"/>
        <v>0</v>
      </c>
    </row>
    <row r="604" spans="2:12" x14ac:dyDescent="0.25">
      <c r="B604" s="38"/>
      <c r="C604" s="44"/>
      <c r="D604" s="35"/>
      <c r="E604" s="35"/>
      <c r="F604" s="40"/>
      <c r="G604" s="41"/>
      <c r="H604" s="41"/>
      <c r="I604" s="42"/>
      <c r="J604" s="41"/>
      <c r="K604" s="40"/>
      <c r="L604" s="28">
        <f t="shared" ca="1" si="63"/>
        <v>0</v>
      </c>
    </row>
    <row r="605" spans="2:12" x14ac:dyDescent="0.25">
      <c r="B605" s="38"/>
      <c r="C605" s="44"/>
      <c r="D605" s="35"/>
      <c r="E605" s="35"/>
      <c r="F605" s="38"/>
      <c r="G605" s="41"/>
      <c r="H605" s="41"/>
      <c r="I605" s="42"/>
      <c r="J605" s="41"/>
      <c r="K605" s="40"/>
      <c r="L605" s="28">
        <f t="shared" ca="1" si="63"/>
        <v>0</v>
      </c>
    </row>
    <row r="606" spans="2:12" x14ac:dyDescent="0.25">
      <c r="B606" s="38"/>
      <c r="C606" s="44"/>
      <c r="D606" s="35"/>
      <c r="E606" s="35"/>
      <c r="F606" s="38"/>
      <c r="G606" s="41"/>
      <c r="H606" s="41"/>
      <c r="I606" s="42"/>
      <c r="J606" s="41"/>
      <c r="K606" s="40"/>
      <c r="L606" s="28">
        <f t="shared" ca="1" si="60"/>
        <v>0</v>
      </c>
    </row>
    <row r="607" spans="2:12" x14ac:dyDescent="0.25">
      <c r="B607" s="38"/>
      <c r="C607" s="44"/>
      <c r="D607" s="35"/>
      <c r="E607" s="35"/>
      <c r="F607" s="38"/>
      <c r="G607" s="41"/>
      <c r="H607" s="41"/>
      <c r="I607" s="42"/>
      <c r="J607" s="41"/>
      <c r="K607" s="40"/>
      <c r="L607" s="28">
        <f t="shared" ca="1" si="60"/>
        <v>0</v>
      </c>
    </row>
    <row r="608" spans="2:12" x14ac:dyDescent="0.25">
      <c r="B608" s="38"/>
      <c r="C608" s="44"/>
      <c r="D608" s="35"/>
      <c r="E608" s="35"/>
      <c r="F608" s="38"/>
      <c r="G608" s="41"/>
      <c r="H608" s="41"/>
      <c r="I608" s="42"/>
      <c r="J608" s="41"/>
      <c r="K608" s="40"/>
      <c r="L608" s="28">
        <f t="shared" ca="1" si="60"/>
        <v>0</v>
      </c>
    </row>
    <row r="609" spans="2:12" x14ac:dyDescent="0.25">
      <c r="B609" s="38"/>
      <c r="C609" s="44"/>
      <c r="D609" s="35"/>
      <c r="E609" s="35"/>
      <c r="F609" s="40"/>
      <c r="G609" s="41"/>
      <c r="H609" s="41"/>
      <c r="I609" s="42"/>
      <c r="J609" s="41"/>
      <c r="K609" s="40"/>
      <c r="L609" s="28">
        <f t="shared" ref="L609:L613" ca="1" si="64">IF(ISERROR(OFFSET(L609,-1,0,1,1)+D609-E609),D609-E609,OFFSET(L609,-1,0,1,1)+D609-E609)</f>
        <v>0</v>
      </c>
    </row>
    <row r="610" spans="2:12" x14ac:dyDescent="0.25">
      <c r="B610" s="38"/>
      <c r="C610" s="44"/>
      <c r="D610" s="35"/>
      <c r="E610" s="35"/>
      <c r="F610" s="40"/>
      <c r="G610" s="41"/>
      <c r="H610" s="41"/>
      <c r="I610" s="42"/>
      <c r="J610" s="41"/>
      <c r="K610" s="40"/>
      <c r="L610" s="28">
        <f ca="1">IF(ISERROR(OFFSET(L610,-1,0,1,1)+D610-E610),D610-E610,OFFSET(L610,-1,0,1,1)+D610-E610)</f>
        <v>0</v>
      </c>
    </row>
    <row r="611" spans="2:12" x14ac:dyDescent="0.25">
      <c r="B611" s="38"/>
      <c r="C611" s="44"/>
      <c r="D611" s="35"/>
      <c r="E611" s="35"/>
      <c r="F611" s="40"/>
      <c r="G611" s="41"/>
      <c r="H611" s="41"/>
      <c r="I611" s="42"/>
      <c r="J611" s="41"/>
      <c r="K611" s="40"/>
      <c r="L611" s="28">
        <f t="shared" ca="1" si="64"/>
        <v>0</v>
      </c>
    </row>
    <row r="612" spans="2:12" x14ac:dyDescent="0.25">
      <c r="B612" s="38"/>
      <c r="C612" s="44"/>
      <c r="D612" s="35"/>
      <c r="E612" s="35"/>
      <c r="F612" s="40"/>
      <c r="G612" s="41"/>
      <c r="H612" s="41"/>
      <c r="I612" s="42"/>
      <c r="J612" s="41"/>
      <c r="K612" s="40"/>
      <c r="L612" s="28">
        <f ca="1">IF(ISERROR(OFFSET(L612,-1,0,1,1)+D612-E612),D612-E612,OFFSET(L612,-1,0,1,1)+D612-E612)</f>
        <v>0</v>
      </c>
    </row>
    <row r="613" spans="2:12" x14ac:dyDescent="0.25">
      <c r="B613" s="38"/>
      <c r="C613" s="39"/>
      <c r="D613" s="35"/>
      <c r="E613" s="35"/>
      <c r="F613" s="40"/>
      <c r="G613" s="41"/>
      <c r="H613" s="41"/>
      <c r="I613" s="42"/>
      <c r="J613" s="41"/>
      <c r="K613" s="40"/>
      <c r="L613" s="28">
        <f t="shared" ca="1" si="64"/>
        <v>0</v>
      </c>
    </row>
    <row r="614" spans="2:12" x14ac:dyDescent="0.25">
      <c r="B614" s="38"/>
      <c r="C614" s="44"/>
      <c r="D614" s="35"/>
      <c r="E614" s="35"/>
      <c r="F614" s="40"/>
      <c r="G614" s="41"/>
      <c r="H614" s="41"/>
      <c r="I614" s="42"/>
      <c r="J614" s="41"/>
      <c r="K614" s="40"/>
      <c r="L614" s="28">
        <f ca="1">IF(ISERROR(OFFSET(L614,-1,0,1,1)+D614-E614),D614-E614,OFFSET(L614,-1,0,1,1)+D614-E614)</f>
        <v>0</v>
      </c>
    </row>
    <row r="615" spans="2:12" x14ac:dyDescent="0.25">
      <c r="B615" s="47"/>
      <c r="C615" s="48"/>
      <c r="D615" s="52">
        <f>SUBTOTAL(109,DicEst_2024[INGRESO])</f>
        <v>0</v>
      </c>
      <c r="E615" s="52">
        <f>SUBTOTAL(109,DicEst_2024[EGRESO])</f>
        <v>0</v>
      </c>
      <c r="F615" s="49"/>
      <c r="G615" s="50"/>
      <c r="H615" s="50"/>
      <c r="I615" s="51"/>
      <c r="J615" s="50"/>
      <c r="K615" s="49"/>
      <c r="L615" s="53"/>
    </row>
  </sheetData>
  <mergeCells count="12">
    <mergeCell ref="B476:L476"/>
    <mergeCell ref="B518:L518"/>
    <mergeCell ref="B568:L568"/>
    <mergeCell ref="B76:L76"/>
    <mergeCell ref="B246:L246"/>
    <mergeCell ref="B288:L288"/>
    <mergeCell ref="B340:L340"/>
    <mergeCell ref="B382:L382"/>
    <mergeCell ref="B432:L432"/>
    <mergeCell ref="B114:L114"/>
    <mergeCell ref="B152:L152"/>
    <mergeCell ref="B204:L204"/>
  </mergeCells>
  <dataValidations count="1">
    <dataValidation type="list" allowBlank="1" showInputMessage="1" showErrorMessage="1" sqref="B520:B565 B384:B429 B116:B149 B203 B434:B473 B478:B515 B567 B287 B154:B201 B339 B78:B111 B381 B206:B243 B431 B248:B285 B475 B342:B379 B517 B290:B337 B570:B614" xr:uid="{085EC06C-2D92-48F1-BCAA-7EFC2C7F759F}">
      <formula1>"Efectivo, Cheques BBVA"</formula1>
    </dataValidation>
  </dataValidations>
  <pageMargins left="0.3" right="0.3" top="0.3" bottom="0.3" header="0" footer="0"/>
  <pageSetup scale="40" fitToHeight="0" orientation="landscape" horizontalDpi="4294967292" verticalDpi="4294967292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59B65E-5B4A-43F3-B56F-3C7B7EBC32AB}">
          <x14:formula1>
            <xm:f>'Tesoreria Overview'!$B$11:$B$92</xm:f>
          </x14:formula1>
          <xm:sqref>J538:J561 J588:J613 J517 J78:J111 J475 J431 J266:J281 J381 J206:J221 J339 J116:J149 J287 J567 J496:J511 J570:J585 J402:J425 J203 J154:J169 J342:J357 J242:J243 J224:J239 J284:J285 J248:J263 J308:J337 J290:J305 J378:J379 J360:J375 J428:J429 J384:J399 J514:J515 J478:J493 J564:J565 J520:J535 J172:J201 J452:J472 J434:J449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Tesoreria Overview</vt:lpstr>
      <vt:lpstr>Cuentas</vt:lpstr>
      <vt:lpstr>Entradas y Salidas</vt:lpstr>
      <vt:lpstr>Estimado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Juan Ara</cp:lastModifiedBy>
  <cp:lastPrinted>2025-09-18T11:35:32Z</cp:lastPrinted>
  <dcterms:created xsi:type="dcterms:W3CDTF">2015-09-17T21:05:17Z</dcterms:created>
  <dcterms:modified xsi:type="dcterms:W3CDTF">2026-06-09T03:35:00Z</dcterms:modified>
</cp:coreProperties>
</file>